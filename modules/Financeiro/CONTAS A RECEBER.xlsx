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uforce\Desktop\TATIANE\"/>
    </mc:Choice>
  </mc:AlternateContent>
  <xr:revisionPtr revIDLastSave="0" documentId="8_{0166C166-19AF-423D-9EFB-E2C1166BDC27}" xr6:coauthVersionLast="47" xr6:coauthVersionMax="47" xr10:uidLastSave="{00000000-0000-0000-0000-000000000000}"/>
  <bookViews>
    <workbookView xWindow="-120" yWindow="-120" windowWidth="20730" windowHeight="11040" tabRatio="654" firstSheet="2" activeTab="2" xr2:uid="{00000000-000D-0000-FFFF-FFFF00000000}"/>
  </bookViews>
  <sheets>
    <sheet name="BASE" sheetId="2" state="hidden" r:id="rId1"/>
    <sheet name="RESUMO" sheetId="4" state="hidden" r:id="rId2"/>
    <sheet name="FATURAMENTO" sheetId="1" r:id="rId3"/>
    <sheet name="DISPONÍVEL" sheetId="9" r:id="rId4"/>
    <sheet name="A RECEBER" sheetId="11" r:id="rId5"/>
    <sheet name="DIARIO" sheetId="3" r:id="rId6"/>
    <sheet name="FUNDOS" sheetId="8" r:id="rId7"/>
    <sheet name="PM" sheetId="16" r:id="rId8"/>
    <sheet name="TD" sheetId="14" r:id="rId9"/>
  </sheets>
  <externalReferences>
    <externalReference r:id="rId10"/>
    <externalReference r:id="rId11"/>
    <externalReference r:id="rId12"/>
    <externalReference r:id="rId13"/>
    <externalReference r:id="rId14"/>
  </externalReferences>
  <definedNames>
    <definedName name="_20_fev_03">#REF!</definedName>
    <definedName name="_28_nov_02">#REF!</definedName>
    <definedName name="_30_dez_02">#REF!</definedName>
    <definedName name="_xlnm._FilterDatabase" localSheetId="2" hidden="1">FATURAMENTO!$A$5:$I$6</definedName>
    <definedName name="_xlnm._FilterDatabase" localSheetId="6" hidden="1">FUNDOS!$C$5:$H$17</definedName>
    <definedName name="_fl_">[1]DADOS!#REF!</definedName>
    <definedName name="_xlnm.Print_Area" localSheetId="7">PM!$A$5:$J$22</definedName>
    <definedName name="BANCO">#REF!</definedName>
    <definedName name="BANCO_DADOS">#REF!</definedName>
    <definedName name="CC">#REF!</definedName>
    <definedName name="CLASSIFICAÇÃO">#REF!</definedName>
    <definedName name="dados">#REF!</definedName>
    <definedName name="FAVORECIDO">#REF!</definedName>
    <definedName name="feriados">[2]Geral!$B$37:$H$50</definedName>
    <definedName name="GRUPO">#REF!</definedName>
    <definedName name="INST">[3]!Tabela5[INSTITUIÇÃO]</definedName>
    <definedName name="INSTITUICAO" localSheetId="7">OFFSET(PM!$L$13,0,0,'[4]BASE TP OPER'!$R$1)</definedName>
    <definedName name="INSTITUICAO">OFFSET(#REF!,0,0,'[4]BASE TP OPER'!$R$1)</definedName>
    <definedName name="Instituições">[5]!Tabela8[Instituição]</definedName>
    <definedName name="k_desgual">'[2]T Desiguais'!$C$6</definedName>
    <definedName name="libio_balboa">#REF!</definedName>
    <definedName name="Nao_Uniforme">'[4]NAO UNIFORME'!#REF!,'[4]NAO UNIFORME'!#REF!</definedName>
    <definedName name="S_N_U">'[4]NAO UNIFORME'!#REF!</definedName>
    <definedName name="SegmentaçãodeDados_BANCO">#N/A</definedName>
    <definedName name="SegmentaçãodeDados_BANCO11">#N/A</definedName>
    <definedName name="SegmentaçãodeDados_TIPO">#N/A</definedName>
    <definedName name="SegmentaçãodeDados_TIPO11">#N/A</definedName>
    <definedName name="SNUTI">'[4]NAO UNIFORME'!#REF!</definedName>
    <definedName name="SUB_TIPO">#REF!</definedName>
    <definedName name="TIPO">#REF!</definedName>
    <definedName name="wilma">#REF!</definedName>
  </definedNames>
  <calcPr calcId="191029"/>
  <pivotCaches>
    <pivotCache cacheId="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6" l="1"/>
  <c r="D13" i="16"/>
  <c r="E13" i="16"/>
  <c r="C14" i="16"/>
  <c r="D14" i="16"/>
  <c r="E14" i="16"/>
  <c r="C15" i="16"/>
  <c r="D15" i="16"/>
  <c r="E15" i="16"/>
  <c r="C16" i="16"/>
  <c r="D16" i="16"/>
  <c r="E16" i="16"/>
  <c r="C17" i="16"/>
  <c r="D17" i="16"/>
  <c r="E17" i="16"/>
  <c r="C18" i="16"/>
  <c r="D18" i="16"/>
  <c r="E18" i="16"/>
  <c r="C19" i="16"/>
  <c r="D19" i="16"/>
  <c r="E19" i="16"/>
  <c r="C20" i="16"/>
  <c r="D20" i="16"/>
  <c r="E20" i="16"/>
  <c r="C21" i="16"/>
  <c r="D21" i="16"/>
  <c r="E21" i="16"/>
  <c r="C22" i="16"/>
  <c r="D22" i="16"/>
  <c r="E22" i="16"/>
  <c r="C23" i="16"/>
  <c r="D23" i="16"/>
  <c r="E23" i="16"/>
  <c r="C24" i="16"/>
  <c r="D24" i="16"/>
  <c r="E24" i="16"/>
  <c r="C25" i="16"/>
  <c r="D25" i="16"/>
  <c r="E25" i="16"/>
  <c r="C26" i="16"/>
  <c r="D26" i="16"/>
  <c r="E26" i="16"/>
  <c r="C27" i="16"/>
  <c r="D27" i="16"/>
  <c r="E27" i="16"/>
  <c r="C28" i="16"/>
  <c r="D28" i="16"/>
  <c r="E28" i="16"/>
  <c r="C29" i="16"/>
  <c r="D29" i="16"/>
  <c r="E29" i="16"/>
  <c r="C30" i="16"/>
  <c r="D30" i="16"/>
  <c r="E30" i="16"/>
  <c r="C31" i="16"/>
  <c r="D31" i="16"/>
  <c r="E31" i="16"/>
  <c r="C32" i="16"/>
  <c r="D32" i="16"/>
  <c r="E32" i="16"/>
  <c r="C33" i="16"/>
  <c r="D33" i="16"/>
  <c r="E33" i="16"/>
  <c r="M19" i="1" l="1"/>
  <c r="M18" i="1"/>
  <c r="N81" i="1"/>
  <c r="M8" i="1"/>
  <c r="M9" i="1"/>
  <c r="N9" i="1" s="1"/>
  <c r="M10" i="1"/>
  <c r="N10" i="1" s="1"/>
  <c r="M11" i="1"/>
  <c r="N11" i="1" s="1"/>
  <c r="M12" i="1"/>
  <c r="N12" i="1" s="1"/>
  <c r="M13" i="1"/>
  <c r="M14" i="1"/>
  <c r="N14" i="1" s="1"/>
  <c r="M15" i="1"/>
  <c r="N15" i="1" s="1"/>
  <c r="M16" i="1"/>
  <c r="M17" i="1"/>
  <c r="M20" i="1"/>
  <c r="M21" i="1"/>
  <c r="N21" i="1" s="1"/>
  <c r="M22" i="1"/>
  <c r="N22" i="1" s="1"/>
  <c r="M23" i="1"/>
  <c r="N23" i="1" s="1"/>
  <c r="M24" i="1"/>
  <c r="M25" i="1"/>
  <c r="N25" i="1" s="1"/>
  <c r="M26" i="1"/>
  <c r="M27" i="1"/>
  <c r="M28" i="1"/>
  <c r="N28" i="1" s="1"/>
  <c r="M29" i="1"/>
  <c r="N29" i="1" s="1"/>
  <c r="M30" i="1"/>
  <c r="N30" i="1" s="1"/>
  <c r="M31" i="1"/>
  <c r="N31" i="1" s="1"/>
  <c r="M32" i="1"/>
  <c r="N32" i="1" s="1"/>
  <c r="M33" i="1"/>
  <c r="M37" i="1"/>
  <c r="M38" i="1"/>
  <c r="N38" i="1" s="1"/>
  <c r="M39" i="1"/>
  <c r="M40" i="1"/>
  <c r="N40" i="1" s="1"/>
  <c r="M41" i="1"/>
  <c r="N41" i="1" s="1"/>
  <c r="M42" i="1"/>
  <c r="N42" i="1" s="1"/>
  <c r="M43" i="1"/>
  <c r="N43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M54" i="1"/>
  <c r="N54" i="1" s="1"/>
  <c r="M55" i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M64" i="1"/>
  <c r="N64" i="1" s="1"/>
  <c r="M65" i="1"/>
  <c r="N65" i="1" s="1"/>
  <c r="M66" i="1"/>
  <c r="N66" i="1" s="1"/>
  <c r="M67" i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2" i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M101" i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M177" i="1"/>
  <c r="N177" i="1" s="1"/>
  <c r="M178" i="1"/>
  <c r="N178" i="1" s="1"/>
  <c r="M179" i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2" i="1"/>
  <c r="N192" i="1" s="1"/>
  <c r="M195" i="1"/>
  <c r="N195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M209" i="1"/>
  <c r="M210" i="1"/>
  <c r="N210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M228" i="1"/>
  <c r="N228" i="1" s="1"/>
  <c r="M229" i="1"/>
  <c r="N229" i="1" s="1"/>
  <c r="M230" i="1"/>
  <c r="M231" i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M239" i="1"/>
  <c r="N239" i="1" s="1"/>
  <c r="M240" i="1"/>
  <c r="M241" i="1"/>
  <c r="N241" i="1" s="1"/>
  <c r="M242" i="1"/>
  <c r="N242" i="1" s="1"/>
  <c r="M243" i="1"/>
  <c r="N243" i="1" s="1"/>
  <c r="M244" i="1"/>
  <c r="M245" i="1"/>
  <c r="N245" i="1" s="1"/>
  <c r="M247" i="1"/>
  <c r="N247" i="1" s="1"/>
  <c r="M248" i="1"/>
  <c r="N248" i="1" s="1"/>
  <c r="M250" i="1"/>
  <c r="N250" i="1" s="1"/>
  <c r="M251" i="1"/>
  <c r="N251" i="1" s="1"/>
  <c r="M252" i="1"/>
  <c r="N252" i="1" s="1"/>
  <c r="M255" i="1"/>
  <c r="N255" i="1" s="1"/>
  <c r="M256" i="1"/>
  <c r="N256" i="1" s="1"/>
  <c r="M257" i="1"/>
  <c r="N257" i="1" s="1"/>
  <c r="M260" i="1"/>
  <c r="N260" i="1" s="1"/>
  <c r="M261" i="1"/>
  <c r="N261" i="1" s="1"/>
  <c r="M262" i="1"/>
  <c r="N262" i="1" s="1"/>
  <c r="M263" i="1"/>
  <c r="N263" i="1" s="1"/>
  <c r="M264" i="1"/>
  <c r="N264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M277" i="1"/>
  <c r="N277" i="1" s="1"/>
  <c r="M278" i="1"/>
  <c r="N278" i="1" s="1"/>
  <c r="M279" i="1"/>
  <c r="N279" i="1" s="1"/>
  <c r="M280" i="1"/>
  <c r="N280" i="1" s="1"/>
  <c r="M281" i="1"/>
  <c r="M284" i="1"/>
  <c r="N284" i="1" s="1"/>
  <c r="M288" i="1"/>
  <c r="N288" i="1" s="1"/>
  <c r="M290" i="1"/>
  <c r="N290" i="1" s="1"/>
  <c r="M291" i="1"/>
  <c r="N291" i="1" s="1"/>
  <c r="M292" i="1"/>
  <c r="N292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4" i="1"/>
  <c r="M305" i="1"/>
  <c r="N305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M317" i="1"/>
  <c r="N317" i="1" s="1"/>
  <c r="M318" i="1"/>
  <c r="M319" i="1"/>
  <c r="N319" i="1" s="1"/>
  <c r="M320" i="1"/>
  <c r="N320" i="1" s="1"/>
  <c r="M321" i="1"/>
  <c r="N321" i="1" s="1"/>
  <c r="M322" i="1"/>
  <c r="N322" i="1" s="1"/>
  <c r="M323" i="1"/>
  <c r="N323" i="1" s="1"/>
  <c r="M329" i="1"/>
  <c r="N329" i="1" s="1"/>
  <c r="M333" i="1"/>
  <c r="N333" i="1" s="1"/>
  <c r="M341" i="1"/>
  <c r="N341" i="1" s="1"/>
  <c r="M342" i="1"/>
  <c r="N342" i="1" s="1"/>
  <c r="M343" i="1"/>
  <c r="N343" i="1" s="1"/>
  <c r="M344" i="1"/>
  <c r="N344" i="1" s="1"/>
  <c r="M361" i="1"/>
  <c r="N361" i="1" s="1"/>
  <c r="M362" i="1"/>
  <c r="N362" i="1" s="1"/>
  <c r="M363" i="1"/>
  <c r="N363" i="1" s="1"/>
  <c r="M364" i="1"/>
  <c r="N364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8" i="1"/>
  <c r="N378" i="1" s="1"/>
  <c r="M384" i="1"/>
  <c r="N384" i="1" s="1"/>
  <c r="M385" i="1"/>
  <c r="N385" i="1" s="1"/>
  <c r="M387" i="1"/>
  <c r="N387" i="1" s="1"/>
  <c r="M390" i="1"/>
  <c r="N390" i="1" s="1"/>
  <c r="M395" i="1"/>
  <c r="N395" i="1" s="1"/>
  <c r="M400" i="1"/>
  <c r="N400" i="1" s="1"/>
  <c r="M405" i="1"/>
  <c r="N405" i="1" s="1"/>
  <c r="M410" i="1"/>
  <c r="N410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31" i="1"/>
  <c r="N431" i="1" s="1"/>
  <c r="M434" i="1"/>
  <c r="N434" i="1" s="1"/>
  <c r="M437" i="1"/>
  <c r="N437" i="1" s="1"/>
  <c r="M440" i="1"/>
  <c r="N440" i="1" s="1"/>
  <c r="M443" i="1"/>
  <c r="N443" i="1" s="1"/>
  <c r="M444" i="1"/>
  <c r="N444" i="1" s="1"/>
  <c r="M445" i="1"/>
  <c r="N445" i="1" s="1"/>
  <c r="M448" i="1"/>
  <c r="N448" i="1" s="1"/>
  <c r="M643" i="1"/>
  <c r="M644" i="1"/>
  <c r="N644" i="1" s="1"/>
  <c r="M645" i="1"/>
  <c r="N645" i="1" s="1"/>
  <c r="M646" i="1"/>
  <c r="N646" i="1" s="1"/>
  <c r="M651" i="1"/>
  <c r="N651" i="1" s="1"/>
  <c r="M652" i="1"/>
  <c r="N652" i="1" s="1"/>
  <c r="M658" i="1"/>
  <c r="N658" i="1" s="1"/>
  <c r="M659" i="1"/>
  <c r="N659" i="1" s="1"/>
  <c r="M669" i="1"/>
  <c r="N669" i="1" s="1"/>
  <c r="M670" i="1"/>
  <c r="N670" i="1" s="1"/>
  <c r="B245" i="1"/>
  <c r="B246" i="1" s="1"/>
  <c r="C245" i="1"/>
  <c r="C246" i="1" s="1"/>
  <c r="B248" i="1"/>
  <c r="B249" i="1" s="1"/>
  <c r="B251" i="1"/>
  <c r="B252" i="1" s="1"/>
  <c r="B253" i="1" s="1"/>
  <c r="B254" i="1" s="1"/>
  <c r="B256" i="1"/>
  <c r="B257" i="1" s="1"/>
  <c r="B258" i="1" s="1"/>
  <c r="B259" i="1" s="1"/>
  <c r="B261" i="1"/>
  <c r="B262" i="1" s="1"/>
  <c r="B263" i="1" s="1"/>
  <c r="B265" i="1"/>
  <c r="B266" i="1" s="1"/>
  <c r="B267" i="1" s="1"/>
  <c r="B268" i="1" s="1"/>
  <c r="B270" i="1"/>
  <c r="B271" i="1" s="1"/>
  <c r="B273" i="1"/>
  <c r="B274" i="1" s="1"/>
  <c r="B278" i="1"/>
  <c r="B279" i="1"/>
  <c r="B280" i="1" s="1"/>
  <c r="B282" i="1"/>
  <c r="B283" i="1" s="1"/>
  <c r="B285" i="1"/>
  <c r="B286" i="1" s="1"/>
  <c r="B287" i="1" s="1"/>
  <c r="B289" i="1"/>
  <c r="B291" i="1"/>
  <c r="B292" i="1" s="1"/>
  <c r="B293" i="1" s="1"/>
  <c r="B294" i="1" s="1"/>
  <c r="B296" i="1"/>
  <c r="B297" i="1" s="1"/>
  <c r="B299" i="1"/>
  <c r="B300" i="1" s="1"/>
  <c r="B302" i="1"/>
  <c r="B303" i="1"/>
  <c r="B306" i="1"/>
  <c r="B307" i="1"/>
  <c r="B309" i="1"/>
  <c r="B310" i="1" s="1"/>
  <c r="B312" i="1"/>
  <c r="B313" i="1" s="1"/>
  <c r="B315" i="1"/>
  <c r="B316" i="1" s="1"/>
  <c r="B318" i="1"/>
  <c r="B319" i="1" s="1"/>
  <c r="B321" i="1"/>
  <c r="B322" i="1"/>
  <c r="B324" i="1"/>
  <c r="B325" i="1" s="1"/>
  <c r="B326" i="1" s="1"/>
  <c r="B327" i="1" s="1"/>
  <c r="B328" i="1" s="1"/>
  <c r="B330" i="1"/>
  <c r="B331" i="1" s="1"/>
  <c r="B332" i="1" s="1"/>
  <c r="B334" i="1"/>
  <c r="B336" i="1"/>
  <c r="B337" i="1"/>
  <c r="B338" i="1" s="1"/>
  <c r="B339" i="1" s="1"/>
  <c r="B340" i="1" s="1"/>
  <c r="B342" i="1"/>
  <c r="B343" i="1" s="1"/>
  <c r="B346" i="1"/>
  <c r="B347" i="1"/>
  <c r="B348" i="1"/>
  <c r="B350" i="1"/>
  <c r="B351" i="1"/>
  <c r="B352" i="1" s="1"/>
  <c r="B353" i="1" s="1"/>
  <c r="B354" i="1" s="1"/>
  <c r="B356" i="1"/>
  <c r="B357" i="1" s="1"/>
  <c r="B358" i="1" s="1"/>
  <c r="B359" i="1" s="1"/>
  <c r="B360" i="1" s="1"/>
  <c r="B363" i="1"/>
  <c r="B364" i="1" s="1"/>
  <c r="B366" i="1"/>
  <c r="B369" i="1"/>
  <c r="B370" i="1"/>
  <c r="B372" i="1"/>
  <c r="B373" i="1"/>
  <c r="B376" i="1"/>
  <c r="B377" i="1"/>
  <c r="B379" i="1"/>
  <c r="B380" i="1" s="1"/>
  <c r="B382" i="1"/>
  <c r="B383" i="1"/>
  <c r="B385" i="1"/>
  <c r="B386" i="1" s="1"/>
  <c r="B391" i="1"/>
  <c r="B392" i="1"/>
  <c r="B393" i="1"/>
  <c r="B394" i="1"/>
  <c r="B396" i="1"/>
  <c r="B397" i="1"/>
  <c r="B398" i="1"/>
  <c r="B399" i="1" s="1"/>
  <c r="B401" i="1"/>
  <c r="B402" i="1"/>
  <c r="B403" i="1"/>
  <c r="B404" i="1" s="1"/>
  <c r="B406" i="1"/>
  <c r="B407" i="1"/>
  <c r="B408" i="1" s="1"/>
  <c r="B409" i="1" s="1"/>
  <c r="B411" i="1"/>
  <c r="B412" i="1"/>
  <c r="N643" i="1" l="1"/>
  <c r="N318" i="1"/>
  <c r="N316" i="1"/>
  <c r="N304" i="1"/>
  <c r="N276" i="1"/>
  <c r="N244" i="1"/>
  <c r="N240" i="1"/>
  <c r="N238" i="1"/>
  <c r="N231" i="1"/>
  <c r="N230" i="1"/>
  <c r="N225" i="1"/>
  <c r="N209" i="1"/>
  <c r="N208" i="1"/>
  <c r="N179" i="1"/>
  <c r="N176" i="1"/>
  <c r="N169" i="1"/>
  <c r="N155" i="1"/>
  <c r="N137" i="1"/>
  <c r="N130" i="1"/>
  <c r="N101" i="1"/>
  <c r="N100" i="1"/>
  <c r="N82" i="1"/>
  <c r="N67" i="1"/>
  <c r="N63" i="1"/>
  <c r="N55" i="1"/>
  <c r="N53" i="1"/>
  <c r="N39" i="1"/>
  <c r="N37" i="1"/>
  <c r="N33" i="1"/>
  <c r="N27" i="1"/>
  <c r="N26" i="1"/>
  <c r="N24" i="1"/>
  <c r="N20" i="1"/>
  <c r="N17" i="1"/>
  <c r="N13" i="1"/>
  <c r="N16" i="1"/>
  <c r="N8" i="1"/>
  <c r="O17" i="8" l="1"/>
  <c r="N17" i="8"/>
  <c r="K17" i="8"/>
  <c r="J17" i="8"/>
  <c r="L17" i="8" s="1"/>
  <c r="F9" i="9" l="1"/>
  <c r="E9" i="9"/>
  <c r="F8" i="9"/>
  <c r="E8" i="9"/>
  <c r="E10" i="16"/>
  <c r="B8" i="3"/>
  <c r="G9" i="9" l="1"/>
  <c r="G8" i="9"/>
  <c r="K89" i="16"/>
  <c r="D90" i="16"/>
  <c r="E90" i="16" s="1"/>
  <c r="C90" i="16"/>
  <c r="D89" i="16"/>
  <c r="E89" i="16" s="1"/>
  <c r="C89" i="16"/>
  <c r="K88" i="16"/>
  <c r="D88" i="16"/>
  <c r="E88" i="16" s="1"/>
  <c r="C88" i="16"/>
  <c r="K87" i="16"/>
  <c r="D87" i="16"/>
  <c r="E87" i="16" s="1"/>
  <c r="C87" i="16"/>
  <c r="K86" i="16"/>
  <c r="D86" i="16"/>
  <c r="E86" i="16" s="1"/>
  <c r="C86" i="16"/>
  <c r="K85" i="16"/>
  <c r="D85" i="16"/>
  <c r="E85" i="16" s="1"/>
  <c r="C85" i="16"/>
  <c r="K84" i="16"/>
  <c r="D84" i="16"/>
  <c r="E84" i="16" s="1"/>
  <c r="C84" i="16"/>
  <c r="K83" i="16"/>
  <c r="D83" i="16"/>
  <c r="E83" i="16" s="1"/>
  <c r="C83" i="16"/>
  <c r="K82" i="16"/>
  <c r="D82" i="16"/>
  <c r="E82" i="16" s="1"/>
  <c r="C82" i="16"/>
  <c r="K81" i="16"/>
  <c r="D81" i="16"/>
  <c r="E81" i="16" s="1"/>
  <c r="C81" i="16"/>
  <c r="K80" i="16"/>
  <c r="D80" i="16"/>
  <c r="E80" i="16" s="1"/>
  <c r="C80" i="16"/>
  <c r="K79" i="16"/>
  <c r="D79" i="16"/>
  <c r="E79" i="16" s="1"/>
  <c r="C79" i="16"/>
  <c r="K78" i="16"/>
  <c r="D78" i="16"/>
  <c r="E78" i="16" s="1"/>
  <c r="C78" i="16"/>
  <c r="K77" i="16"/>
  <c r="D77" i="16"/>
  <c r="E77" i="16" s="1"/>
  <c r="C77" i="16"/>
  <c r="K76" i="16"/>
  <c r="D76" i="16"/>
  <c r="E76" i="16" s="1"/>
  <c r="C76" i="16"/>
  <c r="K75" i="16"/>
  <c r="D75" i="16"/>
  <c r="E75" i="16" s="1"/>
  <c r="C75" i="16"/>
  <c r="K74" i="16"/>
  <c r="D74" i="16"/>
  <c r="E74" i="16" s="1"/>
  <c r="C74" i="16"/>
  <c r="K73" i="16"/>
  <c r="D73" i="16"/>
  <c r="E73" i="16" s="1"/>
  <c r="C73" i="16"/>
  <c r="K72" i="16"/>
  <c r="D72" i="16"/>
  <c r="E72" i="16" s="1"/>
  <c r="C72" i="16"/>
  <c r="K71" i="16"/>
  <c r="D71" i="16"/>
  <c r="E71" i="16" s="1"/>
  <c r="C71" i="16"/>
  <c r="K70" i="16"/>
  <c r="D70" i="16"/>
  <c r="E70" i="16" s="1"/>
  <c r="C70" i="16"/>
  <c r="K69" i="16"/>
  <c r="D69" i="16"/>
  <c r="E69" i="16" s="1"/>
  <c r="C69" i="16"/>
  <c r="K68" i="16"/>
  <c r="D68" i="16"/>
  <c r="E68" i="16" s="1"/>
  <c r="C68" i="16"/>
  <c r="K67" i="16"/>
  <c r="D67" i="16"/>
  <c r="E67" i="16" s="1"/>
  <c r="C67" i="16"/>
  <c r="K66" i="16"/>
  <c r="D66" i="16"/>
  <c r="E66" i="16" s="1"/>
  <c r="C66" i="16"/>
  <c r="K65" i="16"/>
  <c r="D65" i="16"/>
  <c r="E65" i="16" s="1"/>
  <c r="C65" i="16"/>
  <c r="K64" i="16"/>
  <c r="D64" i="16"/>
  <c r="E64" i="16" s="1"/>
  <c r="C64" i="16"/>
  <c r="K63" i="16"/>
  <c r="D63" i="16"/>
  <c r="E63" i="16" s="1"/>
  <c r="C63" i="16"/>
  <c r="K62" i="16"/>
  <c r="D62" i="16"/>
  <c r="E62" i="16" s="1"/>
  <c r="C62" i="16"/>
  <c r="K61" i="16"/>
  <c r="D61" i="16"/>
  <c r="E61" i="16" s="1"/>
  <c r="C61" i="16"/>
  <c r="K60" i="16"/>
  <c r="D60" i="16"/>
  <c r="E60" i="16" s="1"/>
  <c r="C60" i="16"/>
  <c r="K59" i="16"/>
  <c r="D59" i="16"/>
  <c r="E59" i="16" s="1"/>
  <c r="C59" i="16"/>
  <c r="K58" i="16"/>
  <c r="D58" i="16"/>
  <c r="E58" i="16" s="1"/>
  <c r="C58" i="16"/>
  <c r="K57" i="16"/>
  <c r="D57" i="16"/>
  <c r="E57" i="16" s="1"/>
  <c r="C57" i="16"/>
  <c r="K56" i="16"/>
  <c r="D56" i="16"/>
  <c r="E56" i="16" s="1"/>
  <c r="C56" i="16"/>
  <c r="K55" i="16"/>
  <c r="D55" i="16"/>
  <c r="E55" i="16" s="1"/>
  <c r="C55" i="16"/>
  <c r="K54" i="16"/>
  <c r="D54" i="16"/>
  <c r="E54" i="16" s="1"/>
  <c r="C54" i="16"/>
  <c r="K53" i="16"/>
  <c r="D53" i="16"/>
  <c r="E53" i="16" s="1"/>
  <c r="C53" i="16"/>
  <c r="K52" i="16"/>
  <c r="D52" i="16"/>
  <c r="E52" i="16" s="1"/>
  <c r="C52" i="16"/>
  <c r="K51" i="16"/>
  <c r="D51" i="16"/>
  <c r="E51" i="16" s="1"/>
  <c r="C51" i="16"/>
  <c r="K50" i="16"/>
  <c r="D50" i="16"/>
  <c r="E50" i="16" s="1"/>
  <c r="C50" i="16"/>
  <c r="K49" i="16"/>
  <c r="D49" i="16"/>
  <c r="E49" i="16" s="1"/>
  <c r="C49" i="16"/>
  <c r="K48" i="16"/>
  <c r="D48" i="16"/>
  <c r="E48" i="16" s="1"/>
  <c r="C48" i="16"/>
  <c r="K47" i="16"/>
  <c r="D47" i="16"/>
  <c r="E47" i="16" s="1"/>
  <c r="C47" i="16"/>
  <c r="K46" i="16"/>
  <c r="D46" i="16"/>
  <c r="E46" i="16" s="1"/>
  <c r="C46" i="16"/>
  <c r="K45" i="16"/>
  <c r="D45" i="16"/>
  <c r="E45" i="16" s="1"/>
  <c r="C45" i="16"/>
  <c r="K44" i="16"/>
  <c r="D44" i="16"/>
  <c r="E44" i="16" s="1"/>
  <c r="C44" i="16"/>
  <c r="K43" i="16"/>
  <c r="D43" i="16"/>
  <c r="E43" i="16" s="1"/>
  <c r="C43" i="16"/>
  <c r="K42" i="16"/>
  <c r="D42" i="16"/>
  <c r="E42" i="16" s="1"/>
  <c r="C42" i="16"/>
  <c r="K41" i="16"/>
  <c r="D41" i="16"/>
  <c r="E41" i="16" s="1"/>
  <c r="C41" i="16"/>
  <c r="K40" i="16"/>
  <c r="D40" i="16"/>
  <c r="E40" i="16" s="1"/>
  <c r="C40" i="16"/>
  <c r="K39" i="16"/>
  <c r="D39" i="16"/>
  <c r="E39" i="16" s="1"/>
  <c r="C39" i="16"/>
  <c r="K38" i="16"/>
  <c r="D38" i="16"/>
  <c r="E38" i="16" s="1"/>
  <c r="C38" i="16"/>
  <c r="K37" i="16"/>
  <c r="D37" i="16"/>
  <c r="E37" i="16" s="1"/>
  <c r="C37" i="16"/>
  <c r="K36" i="16"/>
  <c r="D36" i="16"/>
  <c r="E36" i="16" s="1"/>
  <c r="C36" i="16"/>
  <c r="K35" i="16"/>
  <c r="D35" i="16"/>
  <c r="E35" i="16" s="1"/>
  <c r="C35" i="16"/>
  <c r="K34" i="16"/>
  <c r="D34" i="16"/>
  <c r="C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B10" i="16"/>
  <c r="I17" i="16" s="1"/>
  <c r="I19" i="16" s="1"/>
  <c r="I22" i="16" s="1"/>
  <c r="E34" i="16" l="1"/>
  <c r="E6" i="16"/>
  <c r="I25" i="16"/>
  <c r="I21" i="16"/>
  <c r="E8" i="16"/>
  <c r="I16" i="16" s="1"/>
  <c r="I26" i="16" l="1"/>
  <c r="I28" i="16" s="1"/>
  <c r="I27" i="16"/>
  <c r="H5" i="1" l="1"/>
  <c r="J7" i="8"/>
  <c r="L7" i="8" s="1"/>
  <c r="K7" i="8"/>
  <c r="N7" i="8"/>
  <c r="O7" i="8"/>
  <c r="J8" i="8"/>
  <c r="L8" i="8" s="1"/>
  <c r="K8" i="8"/>
  <c r="N8" i="8"/>
  <c r="O8" i="8"/>
  <c r="J9" i="8"/>
  <c r="L9" i="8" s="1"/>
  <c r="K9" i="8"/>
  <c r="N9" i="8"/>
  <c r="O9" i="8"/>
  <c r="J10" i="8"/>
  <c r="L10" i="8" s="1"/>
  <c r="K10" i="8"/>
  <c r="N10" i="8"/>
  <c r="O10" i="8"/>
  <c r="J11" i="8"/>
  <c r="L11" i="8" s="1"/>
  <c r="K11" i="8"/>
  <c r="N11" i="8"/>
  <c r="O11" i="8"/>
  <c r="J12" i="8"/>
  <c r="L12" i="8" s="1"/>
  <c r="K12" i="8"/>
  <c r="N12" i="8"/>
  <c r="O12" i="8"/>
  <c r="J13" i="8"/>
  <c r="L13" i="8" s="1"/>
  <c r="K13" i="8"/>
  <c r="N13" i="8"/>
  <c r="O13" i="8"/>
  <c r="J14" i="8"/>
  <c r="L14" i="8" s="1"/>
  <c r="K14" i="8"/>
  <c r="N14" i="8"/>
  <c r="O14" i="8"/>
  <c r="J15" i="8"/>
  <c r="L15" i="8" s="1"/>
  <c r="K15" i="8"/>
  <c r="N15" i="8"/>
  <c r="O15" i="8"/>
  <c r="J16" i="8"/>
  <c r="L16" i="8" s="1"/>
  <c r="K16" i="8"/>
  <c r="N16" i="8"/>
  <c r="O16" i="8"/>
  <c r="F20" i="8"/>
  <c r="L20" i="8"/>
  <c r="F21" i="8"/>
  <c r="L21" i="8"/>
  <c r="S13" i="4"/>
  <c r="S12" i="4"/>
  <c r="S11" i="4"/>
  <c r="S10" i="4"/>
  <c r="S9" i="4"/>
  <c r="S8" i="4"/>
  <c r="S7" i="4"/>
  <c r="S6" i="4"/>
  <c r="S5" i="4"/>
  <c r="S4" i="4"/>
  <c r="R13" i="4"/>
  <c r="R12" i="4"/>
  <c r="R11" i="4"/>
  <c r="R10" i="4"/>
  <c r="R9" i="4"/>
  <c r="R8" i="4"/>
  <c r="R7" i="4"/>
  <c r="R6" i="4"/>
  <c r="R5" i="4"/>
  <c r="R4" i="4"/>
  <c r="N13" i="4"/>
  <c r="N12" i="4"/>
  <c r="N11" i="4"/>
  <c r="N10" i="4"/>
  <c r="N9" i="4"/>
  <c r="N8" i="4"/>
  <c r="N7" i="4"/>
  <c r="N6" i="4"/>
  <c r="N5" i="4"/>
  <c r="O7" i="4"/>
  <c r="O6" i="4"/>
  <c r="O5" i="4"/>
  <c r="P13" i="4"/>
  <c r="O13" i="4"/>
  <c r="P12" i="4"/>
  <c r="O12" i="4"/>
  <c r="P11" i="4"/>
  <c r="O11" i="4"/>
  <c r="P10" i="4"/>
  <c r="O10" i="4"/>
  <c r="P9" i="4"/>
  <c r="O9" i="4"/>
  <c r="P8" i="4"/>
  <c r="O8" i="4"/>
  <c r="P7" i="4"/>
  <c r="P6" i="4"/>
  <c r="P5" i="4"/>
  <c r="J22" i="8" l="1"/>
  <c r="K22" i="8"/>
  <c r="L22" i="8"/>
  <c r="O22" i="8"/>
  <c r="N22" i="8"/>
  <c r="S19" i="4"/>
  <c r="N4" i="4"/>
  <c r="R19" i="4"/>
  <c r="P4" i="4"/>
  <c r="P19" i="4" s="1"/>
  <c r="O4" i="4"/>
  <c r="O19" i="4" s="1"/>
  <c r="N14" i="4"/>
  <c r="N17" i="4"/>
  <c r="N18" i="4"/>
  <c r="J18" i="4"/>
  <c r="J17" i="4"/>
  <c r="J14" i="4"/>
  <c r="N19" i="4" l="1"/>
  <c r="B10" i="3" l="1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9" i="3"/>
  <c r="H6" i="1" l="1"/>
  <c r="F7" i="9"/>
  <c r="I5" i="1"/>
  <c r="M970" i="1" l="1"/>
  <c r="N970" i="1" s="1"/>
  <c r="M968" i="1"/>
  <c r="N968" i="1" s="1"/>
  <c r="M969" i="1"/>
  <c r="N969" i="1" s="1"/>
  <c r="M966" i="1"/>
  <c r="N966" i="1" s="1"/>
  <c r="M967" i="1"/>
  <c r="N967" i="1" s="1"/>
  <c r="M964" i="1"/>
  <c r="N964" i="1" s="1"/>
  <c r="M965" i="1"/>
  <c r="N965" i="1" s="1"/>
  <c r="M962" i="1"/>
  <c r="N962" i="1" s="1"/>
  <c r="M963" i="1"/>
  <c r="N963" i="1" s="1"/>
  <c r="M958" i="1"/>
  <c r="N958" i="1" s="1"/>
  <c r="M959" i="1"/>
  <c r="N959" i="1" s="1"/>
  <c r="M960" i="1"/>
  <c r="N960" i="1" s="1"/>
  <c r="M961" i="1"/>
  <c r="N961" i="1" s="1"/>
  <c r="M953" i="1"/>
  <c r="N953" i="1" s="1"/>
  <c r="M954" i="1"/>
  <c r="N954" i="1" s="1"/>
  <c r="M955" i="1"/>
  <c r="N955" i="1" s="1"/>
  <c r="M956" i="1"/>
  <c r="N956" i="1" s="1"/>
  <c r="M957" i="1"/>
  <c r="N957" i="1" s="1"/>
  <c r="M951" i="1"/>
  <c r="N951" i="1" s="1"/>
  <c r="M952" i="1"/>
  <c r="N952" i="1" s="1"/>
  <c r="M949" i="1"/>
  <c r="N949" i="1" s="1"/>
  <c r="M950" i="1"/>
  <c r="N950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1" i="1"/>
  <c r="N941" i="1" s="1"/>
  <c r="M942" i="1"/>
  <c r="N942" i="1" s="1"/>
  <c r="M939" i="1"/>
  <c r="N939" i="1" s="1"/>
  <c r="M940" i="1"/>
  <c r="N940" i="1" s="1"/>
  <c r="M937" i="1"/>
  <c r="N937" i="1" s="1"/>
  <c r="M938" i="1"/>
  <c r="N938" i="1" s="1"/>
  <c r="M935" i="1"/>
  <c r="N935" i="1" s="1"/>
  <c r="M936" i="1"/>
  <c r="N936" i="1" s="1"/>
  <c r="M933" i="1"/>
  <c r="N933" i="1" s="1"/>
  <c r="M934" i="1"/>
  <c r="N934" i="1" s="1"/>
  <c r="M931" i="1"/>
  <c r="N931" i="1" s="1"/>
  <c r="M932" i="1"/>
  <c r="N932" i="1" s="1"/>
  <c r="M929" i="1"/>
  <c r="N929" i="1" s="1"/>
  <c r="M930" i="1"/>
  <c r="N930" i="1" s="1"/>
  <c r="M927" i="1"/>
  <c r="N927" i="1" s="1"/>
  <c r="M928" i="1"/>
  <c r="N928" i="1" s="1"/>
  <c r="M925" i="1"/>
  <c r="N925" i="1" s="1"/>
  <c r="M926" i="1"/>
  <c r="N926" i="1" s="1"/>
  <c r="M282" i="1"/>
  <c r="M924" i="1"/>
  <c r="N924" i="1" s="1"/>
  <c r="M922" i="1"/>
  <c r="N922" i="1" s="1"/>
  <c r="M923" i="1"/>
  <c r="N923" i="1" s="1"/>
  <c r="M920" i="1"/>
  <c r="N920" i="1" s="1"/>
  <c r="M921" i="1"/>
  <c r="N921" i="1" s="1"/>
  <c r="M918" i="1"/>
  <c r="N918" i="1" s="1"/>
  <c r="M919" i="1"/>
  <c r="N919" i="1" s="1"/>
  <c r="M914" i="1"/>
  <c r="N914" i="1" s="1"/>
  <c r="M915" i="1"/>
  <c r="N915" i="1" s="1"/>
  <c r="M916" i="1"/>
  <c r="N916" i="1" s="1"/>
  <c r="M917" i="1"/>
  <c r="N917" i="1" s="1"/>
  <c r="M913" i="1"/>
  <c r="N913" i="1" s="1"/>
  <c r="M912" i="1"/>
  <c r="N912" i="1" s="1"/>
  <c r="M910" i="1"/>
  <c r="N910" i="1" s="1"/>
  <c r="M911" i="1"/>
  <c r="N911" i="1" s="1"/>
  <c r="M909" i="1"/>
  <c r="N909" i="1" s="1"/>
  <c r="M908" i="1"/>
  <c r="N908" i="1" s="1"/>
  <c r="M906" i="1"/>
  <c r="N906" i="1" s="1"/>
  <c r="M907" i="1"/>
  <c r="N907" i="1" s="1"/>
  <c r="M904" i="1"/>
  <c r="N904" i="1" s="1"/>
  <c r="M905" i="1"/>
  <c r="N905" i="1" s="1"/>
  <c r="M902" i="1"/>
  <c r="N902" i="1" s="1"/>
  <c r="M903" i="1"/>
  <c r="N903" i="1" s="1"/>
  <c r="M900" i="1"/>
  <c r="N900" i="1" s="1"/>
  <c r="M901" i="1"/>
  <c r="N901" i="1" s="1"/>
  <c r="M899" i="1"/>
  <c r="N899" i="1" s="1"/>
  <c r="M897" i="1"/>
  <c r="N897" i="1" s="1"/>
  <c r="M898" i="1"/>
  <c r="N898" i="1" s="1"/>
  <c r="M631" i="1"/>
  <c r="N631" i="1" s="1"/>
  <c r="M896" i="1"/>
  <c r="N896" i="1" s="1"/>
  <c r="M629" i="1"/>
  <c r="N629" i="1" s="1"/>
  <c r="M630" i="1"/>
  <c r="N630" i="1" s="1"/>
  <c r="M893" i="1"/>
  <c r="N893" i="1" s="1"/>
  <c r="M894" i="1"/>
  <c r="N894" i="1" s="1"/>
  <c r="M895" i="1"/>
  <c r="N895" i="1" s="1"/>
  <c r="M890" i="1"/>
  <c r="N890" i="1" s="1"/>
  <c r="M891" i="1"/>
  <c r="N891" i="1" s="1"/>
  <c r="M892" i="1"/>
  <c r="N892" i="1" s="1"/>
  <c r="M886" i="1"/>
  <c r="N886" i="1" s="1"/>
  <c r="M887" i="1"/>
  <c r="N887" i="1" s="1"/>
  <c r="M888" i="1"/>
  <c r="N888" i="1" s="1"/>
  <c r="M889" i="1"/>
  <c r="N889" i="1" s="1"/>
  <c r="M883" i="1"/>
  <c r="N883" i="1" s="1"/>
  <c r="M884" i="1"/>
  <c r="N884" i="1" s="1"/>
  <c r="M885" i="1"/>
  <c r="N885" i="1" s="1"/>
  <c r="M880" i="1"/>
  <c r="N880" i="1" s="1"/>
  <c r="M881" i="1"/>
  <c r="N881" i="1" s="1"/>
  <c r="M882" i="1"/>
  <c r="N882" i="1" s="1"/>
  <c r="M878" i="1"/>
  <c r="N878" i="1" s="1"/>
  <c r="M879" i="1"/>
  <c r="N879" i="1" s="1"/>
  <c r="M876" i="1"/>
  <c r="N876" i="1" s="1"/>
  <c r="M877" i="1"/>
  <c r="N877" i="1" s="1"/>
  <c r="N19" i="1"/>
  <c r="M875" i="1"/>
  <c r="N875" i="1" s="1"/>
  <c r="M874" i="1"/>
  <c r="N874" i="1" s="1"/>
  <c r="M872" i="1"/>
  <c r="N872" i="1" s="1"/>
  <c r="M873" i="1"/>
  <c r="N873" i="1" s="1"/>
  <c r="M870" i="1"/>
  <c r="N870" i="1" s="1"/>
  <c r="M871" i="1"/>
  <c r="N871" i="1" s="1"/>
  <c r="M868" i="1"/>
  <c r="N868" i="1" s="1"/>
  <c r="M869" i="1"/>
  <c r="N869" i="1" s="1"/>
  <c r="M866" i="1"/>
  <c r="N866" i="1" s="1"/>
  <c r="M867" i="1"/>
  <c r="N867" i="1" s="1"/>
  <c r="M864" i="1"/>
  <c r="N864" i="1" s="1"/>
  <c r="M865" i="1"/>
  <c r="N865" i="1" s="1"/>
  <c r="M862" i="1"/>
  <c r="N862" i="1" s="1"/>
  <c r="M863" i="1"/>
  <c r="N863" i="1" s="1"/>
  <c r="M860" i="1"/>
  <c r="N860" i="1" s="1"/>
  <c r="M861" i="1"/>
  <c r="N861" i="1" s="1"/>
  <c r="M858" i="1"/>
  <c r="N858" i="1" s="1"/>
  <c r="M859" i="1"/>
  <c r="N859" i="1" s="1"/>
  <c r="M856" i="1"/>
  <c r="N856" i="1" s="1"/>
  <c r="M857" i="1"/>
  <c r="N857" i="1" s="1"/>
  <c r="M854" i="1"/>
  <c r="N854" i="1" s="1"/>
  <c r="M855" i="1"/>
  <c r="N855" i="1" s="1"/>
  <c r="M852" i="1"/>
  <c r="N852" i="1" s="1"/>
  <c r="M853" i="1"/>
  <c r="N853" i="1" s="1"/>
  <c r="M850" i="1"/>
  <c r="N850" i="1" s="1"/>
  <c r="M851" i="1"/>
  <c r="N851" i="1" s="1"/>
  <c r="M848" i="1"/>
  <c r="N848" i="1" s="1"/>
  <c r="M849" i="1"/>
  <c r="N849" i="1" s="1"/>
  <c r="M846" i="1"/>
  <c r="N846" i="1" s="1"/>
  <c r="M847" i="1"/>
  <c r="N847" i="1" s="1"/>
  <c r="M844" i="1"/>
  <c r="N844" i="1" s="1"/>
  <c r="M845" i="1"/>
  <c r="N845" i="1" s="1"/>
  <c r="M842" i="1"/>
  <c r="N842" i="1" s="1"/>
  <c r="M843" i="1"/>
  <c r="N843" i="1" s="1"/>
  <c r="M840" i="1"/>
  <c r="N840" i="1" s="1"/>
  <c r="M841" i="1"/>
  <c r="N841" i="1" s="1"/>
  <c r="M839" i="1"/>
  <c r="N839" i="1" s="1"/>
  <c r="M381" i="1"/>
  <c r="N381" i="1" s="1"/>
  <c r="M837" i="1"/>
  <c r="N837" i="1" s="1"/>
  <c r="M838" i="1"/>
  <c r="N838" i="1" s="1"/>
  <c r="M835" i="1"/>
  <c r="N835" i="1" s="1"/>
  <c r="M836" i="1"/>
  <c r="N836" i="1" s="1"/>
  <c r="M833" i="1"/>
  <c r="N833" i="1" s="1"/>
  <c r="M834" i="1"/>
  <c r="N834" i="1" s="1"/>
  <c r="M831" i="1"/>
  <c r="N831" i="1" s="1"/>
  <c r="M832" i="1"/>
  <c r="N832" i="1" s="1"/>
  <c r="M830" i="1"/>
  <c r="N830" i="1" s="1"/>
  <c r="M507" i="1"/>
  <c r="N507" i="1" s="1"/>
  <c r="M503" i="1"/>
  <c r="N503" i="1" s="1"/>
  <c r="M828" i="1"/>
  <c r="N828" i="1" s="1"/>
  <c r="M829" i="1"/>
  <c r="N829" i="1" s="1"/>
  <c r="M826" i="1"/>
  <c r="N826" i="1" s="1"/>
  <c r="M827" i="1"/>
  <c r="N827" i="1" s="1"/>
  <c r="M824" i="1"/>
  <c r="N824" i="1" s="1"/>
  <c r="M825" i="1"/>
  <c r="N825" i="1" s="1"/>
  <c r="M822" i="1"/>
  <c r="N822" i="1" s="1"/>
  <c r="M823" i="1"/>
  <c r="N823" i="1" s="1"/>
  <c r="M820" i="1"/>
  <c r="N820" i="1" s="1"/>
  <c r="M821" i="1"/>
  <c r="N821" i="1" s="1"/>
  <c r="M819" i="1"/>
  <c r="N819" i="1" s="1"/>
  <c r="M817" i="1"/>
  <c r="N817" i="1" s="1"/>
  <c r="M818" i="1"/>
  <c r="N818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08" i="1"/>
  <c r="N808" i="1" s="1"/>
  <c r="M809" i="1"/>
  <c r="N809" i="1" s="1"/>
  <c r="M806" i="1"/>
  <c r="N806" i="1" s="1"/>
  <c r="M807" i="1"/>
  <c r="N807" i="1" s="1"/>
  <c r="N18" i="1"/>
  <c r="M805" i="1"/>
  <c r="N805" i="1" s="1"/>
  <c r="M804" i="1"/>
  <c r="N804" i="1" s="1"/>
  <c r="M803" i="1"/>
  <c r="N803" i="1" s="1"/>
  <c r="M802" i="1"/>
  <c r="N802" i="1" s="1"/>
  <c r="M44" i="1"/>
  <c r="M45" i="1"/>
  <c r="M46" i="1"/>
  <c r="M170" i="1"/>
  <c r="M190" i="1"/>
  <c r="M191" i="1"/>
  <c r="M193" i="1"/>
  <c r="M194" i="1"/>
  <c r="M196" i="1"/>
  <c r="N196" i="1" s="1"/>
  <c r="M197" i="1"/>
  <c r="M211" i="1"/>
  <c r="M212" i="1"/>
  <c r="M213" i="1"/>
  <c r="M226" i="1"/>
  <c r="M227" i="1"/>
  <c r="M246" i="1"/>
  <c r="M249" i="1"/>
  <c r="N249" i="1" s="1"/>
  <c r="M253" i="1"/>
  <c r="N253" i="1" s="1"/>
  <c r="M254" i="1"/>
  <c r="M258" i="1"/>
  <c r="N258" i="1" s="1"/>
  <c r="M259" i="1"/>
  <c r="N259" i="1" s="1"/>
  <c r="M265" i="1"/>
  <c r="M266" i="1"/>
  <c r="M267" i="1"/>
  <c r="M268" i="1"/>
  <c r="M34" i="1"/>
  <c r="M35" i="1"/>
  <c r="M36" i="1"/>
  <c r="M283" i="1"/>
  <c r="M285" i="1"/>
  <c r="N285" i="1" s="1"/>
  <c r="M286" i="1"/>
  <c r="M287" i="1"/>
  <c r="M289" i="1"/>
  <c r="N289" i="1" s="1"/>
  <c r="M293" i="1"/>
  <c r="N293" i="1" s="1"/>
  <c r="M294" i="1"/>
  <c r="N294" i="1" s="1"/>
  <c r="M303" i="1"/>
  <c r="N303" i="1" s="1"/>
  <c r="M306" i="1"/>
  <c r="N306" i="1" s="1"/>
  <c r="M307" i="1"/>
  <c r="N307" i="1" s="1"/>
  <c r="M324" i="1"/>
  <c r="N324" i="1" s="1"/>
  <c r="M325" i="1"/>
  <c r="M326" i="1"/>
  <c r="M327" i="1"/>
  <c r="M328" i="1"/>
  <c r="M330" i="1"/>
  <c r="M331" i="1"/>
  <c r="M332" i="1"/>
  <c r="M334" i="1"/>
  <c r="M335" i="1"/>
  <c r="M336" i="1"/>
  <c r="M337" i="1"/>
  <c r="M338" i="1"/>
  <c r="M339" i="1"/>
  <c r="M340" i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5" i="1"/>
  <c r="M366" i="1"/>
  <c r="M377" i="1"/>
  <c r="N377" i="1" s="1"/>
  <c r="M379" i="1"/>
  <c r="N379" i="1" s="1"/>
  <c r="M380" i="1"/>
  <c r="N380" i="1" s="1"/>
  <c r="M382" i="1"/>
  <c r="N382" i="1" s="1"/>
  <c r="M383" i="1"/>
  <c r="N383" i="1" s="1"/>
  <c r="M386" i="1"/>
  <c r="N386" i="1" s="1"/>
  <c r="M388" i="1"/>
  <c r="N388" i="1" s="1"/>
  <c r="M389" i="1"/>
  <c r="N389" i="1" s="1"/>
  <c r="M391" i="1"/>
  <c r="N391" i="1" s="1"/>
  <c r="M392" i="1"/>
  <c r="N392" i="1" s="1"/>
  <c r="M393" i="1"/>
  <c r="N393" i="1" s="1"/>
  <c r="M394" i="1"/>
  <c r="N394" i="1" s="1"/>
  <c r="M396" i="1"/>
  <c r="N396" i="1" s="1"/>
  <c r="M397" i="1"/>
  <c r="N397" i="1" s="1"/>
  <c r="M398" i="1"/>
  <c r="N398" i="1" s="1"/>
  <c r="M399" i="1"/>
  <c r="N399" i="1" s="1"/>
  <c r="M401" i="1"/>
  <c r="N401" i="1" s="1"/>
  <c r="M402" i="1"/>
  <c r="N402" i="1" s="1"/>
  <c r="M403" i="1"/>
  <c r="N403" i="1" s="1"/>
  <c r="M404" i="1"/>
  <c r="N404" i="1" s="1"/>
  <c r="M406" i="1"/>
  <c r="N406" i="1" s="1"/>
  <c r="M407" i="1"/>
  <c r="N407" i="1" s="1"/>
  <c r="M408" i="1"/>
  <c r="M409" i="1"/>
  <c r="M411" i="1"/>
  <c r="N411" i="1" s="1"/>
  <c r="M412" i="1"/>
  <c r="N412" i="1" s="1"/>
  <c r="M419" i="1"/>
  <c r="M429" i="1"/>
  <c r="N429" i="1" s="1"/>
  <c r="M430" i="1"/>
  <c r="N430" i="1" s="1"/>
  <c r="M432" i="1"/>
  <c r="N432" i="1" s="1"/>
  <c r="M433" i="1"/>
  <c r="N433" i="1" s="1"/>
  <c r="M435" i="1"/>
  <c r="N435" i="1" s="1"/>
  <c r="M436" i="1"/>
  <c r="N436" i="1" s="1"/>
  <c r="M438" i="1"/>
  <c r="N438" i="1" s="1"/>
  <c r="M439" i="1"/>
  <c r="N439" i="1" s="1"/>
  <c r="M441" i="1"/>
  <c r="N441" i="1" s="1"/>
  <c r="M442" i="1"/>
  <c r="N442" i="1" s="1"/>
  <c r="M446" i="1"/>
  <c r="N446" i="1" s="1"/>
  <c r="M447" i="1"/>
  <c r="N447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M468" i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M476" i="1"/>
  <c r="N476" i="1" s="1"/>
  <c r="M477" i="1"/>
  <c r="N477" i="1" s="1"/>
  <c r="M478" i="1"/>
  <c r="N478" i="1" s="1"/>
  <c r="M479" i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4" i="1"/>
  <c r="N504" i="1" s="1"/>
  <c r="M505" i="1"/>
  <c r="N505" i="1" s="1"/>
  <c r="M506" i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M520" i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M559" i="1"/>
  <c r="N559" i="1" s="1"/>
  <c r="N560" i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7" i="1"/>
  <c r="N647" i="1" s="1"/>
  <c r="M648" i="1"/>
  <c r="N648" i="1" s="1"/>
  <c r="M649" i="1"/>
  <c r="N649" i="1" s="1"/>
  <c r="M650" i="1"/>
  <c r="N650" i="1" s="1"/>
  <c r="M653" i="1"/>
  <c r="N653" i="1" s="1"/>
  <c r="M654" i="1"/>
  <c r="N654" i="1" s="1"/>
  <c r="M655" i="1"/>
  <c r="N655" i="1" s="1"/>
  <c r="M656" i="1"/>
  <c r="N656" i="1" s="1"/>
  <c r="M657" i="1"/>
  <c r="N657" i="1" s="1"/>
  <c r="M660" i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D8" i="4"/>
  <c r="D9" i="4" s="1"/>
  <c r="D10" i="4" s="1"/>
  <c r="E7" i="9"/>
  <c r="C8" i="4"/>
  <c r="N340" i="1" l="1"/>
  <c r="N331" i="1"/>
  <c r="N287" i="1"/>
  <c r="N34" i="1"/>
  <c r="N268" i="1"/>
  <c r="N267" i="1"/>
  <c r="N197" i="1"/>
  <c r="N45" i="1"/>
  <c r="E201" i="3"/>
  <c r="E200" i="3"/>
  <c r="E17" i="3"/>
  <c r="D17" i="3"/>
  <c r="E198" i="3"/>
  <c r="E197" i="3"/>
  <c r="E196" i="3"/>
  <c r="E195" i="3"/>
  <c r="E194" i="3"/>
  <c r="D16" i="3"/>
  <c r="D55" i="3"/>
  <c r="E361" i="3"/>
  <c r="E208" i="3"/>
  <c r="E207" i="3"/>
  <c r="E206" i="3"/>
  <c r="E205" i="3"/>
  <c r="E204" i="3"/>
  <c r="E203" i="3"/>
  <c r="E202" i="3"/>
  <c r="E33" i="3"/>
  <c r="E32" i="3"/>
  <c r="E29" i="3"/>
  <c r="E27" i="3"/>
  <c r="E24" i="3"/>
  <c r="E23" i="3"/>
  <c r="E20" i="3"/>
  <c r="E19" i="3"/>
  <c r="E14" i="3"/>
  <c r="E12" i="3"/>
  <c r="E55" i="3"/>
  <c r="E54" i="3"/>
  <c r="E50" i="3"/>
  <c r="E49" i="3"/>
  <c r="E45" i="3"/>
  <c r="E44" i="3"/>
  <c r="E41" i="3"/>
  <c r="E40" i="3"/>
  <c r="E37" i="3"/>
  <c r="E36" i="3"/>
  <c r="E163" i="3"/>
  <c r="E162" i="3"/>
  <c r="E159" i="3"/>
  <c r="E158" i="3"/>
  <c r="E154" i="3"/>
  <c r="E152" i="3"/>
  <c r="E99" i="3"/>
  <c r="E95" i="3"/>
  <c r="E60" i="3"/>
  <c r="E59" i="3"/>
  <c r="E183" i="3"/>
  <c r="E181" i="3"/>
  <c r="E180" i="3"/>
  <c r="E179" i="3"/>
  <c r="E177" i="3"/>
  <c r="E175" i="3"/>
  <c r="E172" i="3"/>
  <c r="E170" i="3"/>
  <c r="E167" i="3"/>
  <c r="E166" i="3"/>
  <c r="E30" i="3"/>
  <c r="E26" i="3"/>
  <c r="E25" i="3"/>
  <c r="E22" i="3"/>
  <c r="E21" i="3"/>
  <c r="E18" i="3"/>
  <c r="E16" i="3"/>
  <c r="E11" i="3"/>
  <c r="D362" i="3"/>
  <c r="D196" i="3"/>
  <c r="E52" i="3"/>
  <c r="E48" i="3"/>
  <c r="E46" i="3"/>
  <c r="E43" i="3"/>
  <c r="E42" i="3"/>
  <c r="E39" i="3"/>
  <c r="E38" i="3"/>
  <c r="E35" i="3"/>
  <c r="E34" i="3"/>
  <c r="E31" i="3"/>
  <c r="E157" i="3"/>
  <c r="E155" i="3"/>
  <c r="E153" i="3"/>
  <c r="E151" i="3"/>
  <c r="E150" i="3"/>
  <c r="E63" i="3"/>
  <c r="E62" i="3"/>
  <c r="E57" i="3"/>
  <c r="E56" i="3"/>
  <c r="E53" i="3"/>
  <c r="E178" i="3"/>
  <c r="E176" i="3"/>
  <c r="E174" i="3"/>
  <c r="E173" i="3"/>
  <c r="E169" i="3"/>
  <c r="E168" i="3"/>
  <c r="E165" i="3"/>
  <c r="E164" i="3"/>
  <c r="E161" i="3"/>
  <c r="E160" i="3"/>
  <c r="E191" i="3"/>
  <c r="E190" i="3"/>
  <c r="E189" i="3"/>
  <c r="E188" i="3"/>
  <c r="E187" i="3"/>
  <c r="E186" i="3"/>
  <c r="E185" i="3"/>
  <c r="E10" i="3"/>
  <c r="D195" i="3"/>
  <c r="E182" i="3"/>
  <c r="D192" i="3"/>
  <c r="D191" i="3"/>
  <c r="D190" i="3"/>
  <c r="D189" i="3"/>
  <c r="D188" i="3"/>
  <c r="D187" i="3"/>
  <c r="D186" i="3"/>
  <c r="E199" i="3"/>
  <c r="E193" i="3"/>
  <c r="E192" i="3"/>
  <c r="D29" i="3"/>
  <c r="D52" i="3"/>
  <c r="D24" i="3"/>
  <c r="D25" i="3"/>
  <c r="D20" i="3"/>
  <c r="D23" i="3"/>
  <c r="D30" i="3"/>
  <c r="E184" i="3"/>
  <c r="D194" i="3"/>
  <c r="D193" i="3"/>
  <c r="D14" i="3"/>
  <c r="D41" i="3"/>
  <c r="D45" i="3"/>
  <c r="D38" i="3"/>
  <c r="D31" i="3"/>
  <c r="D21" i="3"/>
  <c r="D34" i="3"/>
  <c r="D27" i="3"/>
  <c r="D35" i="3"/>
  <c r="D22" i="3"/>
  <c r="D48" i="3"/>
  <c r="D40" i="3"/>
  <c r="D56" i="3"/>
  <c r="D60" i="3"/>
  <c r="D59" i="3"/>
  <c r="D44" i="3"/>
  <c r="D26" i="3"/>
  <c r="D36" i="3"/>
  <c r="D39" i="3"/>
  <c r="D37" i="3"/>
  <c r="D178" i="3"/>
  <c r="D177" i="3"/>
  <c r="D176" i="3"/>
  <c r="D43" i="3"/>
  <c r="D57" i="3"/>
  <c r="D63" i="3"/>
  <c r="D50" i="3"/>
  <c r="D49" i="3"/>
  <c r="D46" i="3"/>
  <c r="D62" i="3"/>
  <c r="D167" i="3"/>
  <c r="D166" i="3"/>
  <c r="D165" i="3"/>
  <c r="D185" i="3"/>
  <c r="D184" i="3"/>
  <c r="D183" i="3"/>
  <c r="D182" i="3"/>
  <c r="D181" i="3"/>
  <c r="D180" i="3"/>
  <c r="D179" i="3"/>
  <c r="D113" i="3"/>
  <c r="D110" i="3"/>
  <c r="D99" i="3"/>
  <c r="D175" i="3"/>
  <c r="D174" i="3"/>
  <c r="D173" i="3"/>
  <c r="D172" i="3"/>
  <c r="D170" i="3"/>
  <c r="D169" i="3"/>
  <c r="D168" i="3"/>
  <c r="D18" i="3"/>
  <c r="D12" i="3"/>
  <c r="D11" i="3"/>
  <c r="D164" i="3"/>
  <c r="D163" i="3"/>
  <c r="D162" i="3"/>
  <c r="D161" i="3"/>
  <c r="D160" i="3"/>
  <c r="D159" i="3"/>
  <c r="D158" i="3"/>
  <c r="D10" i="3"/>
  <c r="D95" i="3"/>
  <c r="D54" i="3"/>
  <c r="D53" i="3"/>
  <c r="D42" i="3"/>
  <c r="D33" i="3"/>
  <c r="D32" i="3"/>
  <c r="D19" i="3"/>
  <c r="E83" i="3"/>
  <c r="E47" i="3"/>
  <c r="E96" i="3"/>
  <c r="E105" i="3"/>
  <c r="E89" i="3"/>
  <c r="E107" i="3"/>
  <c r="E61" i="3"/>
  <c r="E67" i="3"/>
  <c r="E74" i="3"/>
  <c r="E13" i="3"/>
  <c r="E106" i="3"/>
  <c r="E15" i="3"/>
  <c r="E58" i="3"/>
  <c r="E28" i="3"/>
  <c r="E90" i="3"/>
  <c r="E98" i="3"/>
  <c r="E97" i="3"/>
  <c r="E171" i="3"/>
  <c r="E86" i="3"/>
  <c r="E66" i="3"/>
  <c r="E87" i="3"/>
  <c r="E82" i="3"/>
  <c r="E91" i="3"/>
  <c r="E103" i="3"/>
  <c r="E75" i="3"/>
  <c r="E69" i="3"/>
  <c r="E65" i="3"/>
  <c r="E68" i="3"/>
  <c r="E71" i="3"/>
  <c r="E101" i="3"/>
  <c r="E70" i="3"/>
  <c r="E85" i="3"/>
  <c r="E100" i="3"/>
  <c r="E76" i="3"/>
  <c r="E72" i="3"/>
  <c r="E51" i="3"/>
  <c r="E78" i="3"/>
  <c r="E77" i="3"/>
  <c r="E79" i="3"/>
  <c r="E93" i="3"/>
  <c r="E102" i="3"/>
  <c r="E64" i="3"/>
  <c r="E92" i="3"/>
  <c r="E81" i="3"/>
  <c r="E73" i="3"/>
  <c r="E80" i="3"/>
  <c r="E94" i="3"/>
  <c r="E84" i="3"/>
  <c r="E88" i="3"/>
  <c r="E104" i="3"/>
  <c r="E9" i="3"/>
  <c r="E366" i="3"/>
  <c r="E354" i="3"/>
  <c r="E351" i="3"/>
  <c r="E348" i="3"/>
  <c r="E345" i="3"/>
  <c r="E342" i="3"/>
  <c r="E339" i="3"/>
  <c r="E337" i="3"/>
  <c r="E332" i="3"/>
  <c r="E330" i="3"/>
  <c r="E326" i="3"/>
  <c r="E322" i="3"/>
  <c r="E319" i="3"/>
  <c r="E314" i="3"/>
  <c r="E309" i="3"/>
  <c r="E305" i="3"/>
  <c r="E302" i="3"/>
  <c r="E300" i="3"/>
  <c r="E297" i="3"/>
  <c r="E292" i="3"/>
  <c r="E289" i="3"/>
  <c r="E285" i="3"/>
  <c r="E282" i="3"/>
  <c r="E280" i="3"/>
  <c r="E275" i="3"/>
  <c r="E272" i="3"/>
  <c r="E270" i="3"/>
  <c r="E266" i="3"/>
  <c r="E262" i="3"/>
  <c r="E259" i="3"/>
  <c r="E254" i="3"/>
  <c r="E251" i="3"/>
  <c r="E247" i="3"/>
  <c r="E243" i="3"/>
  <c r="E240" i="3"/>
  <c r="E237" i="3"/>
  <c r="E233" i="3"/>
  <c r="E230" i="3"/>
  <c r="E227" i="3"/>
  <c r="E223" i="3"/>
  <c r="E219" i="3"/>
  <c r="E216" i="3"/>
  <c r="E214" i="3"/>
  <c r="E210" i="3"/>
  <c r="E271" i="3"/>
  <c r="E268" i="3"/>
  <c r="E264" i="3"/>
  <c r="E261" i="3"/>
  <c r="E257" i="3"/>
  <c r="E255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252" i="3"/>
  <c r="E250" i="3"/>
  <c r="E248" i="3"/>
  <c r="E246" i="3"/>
  <c r="E324" i="3"/>
  <c r="E244" i="3"/>
  <c r="E241" i="3"/>
  <c r="E238" i="3"/>
  <c r="E235" i="3"/>
  <c r="E232" i="3"/>
  <c r="E228" i="3"/>
  <c r="E226" i="3"/>
  <c r="E222" i="3"/>
  <c r="E220" i="3"/>
  <c r="E218" i="3"/>
  <c r="E215" i="3"/>
  <c r="E213" i="3"/>
  <c r="E211" i="3"/>
  <c r="E373" i="3"/>
  <c r="E369" i="3"/>
  <c r="E367" i="3"/>
  <c r="E364" i="3"/>
  <c r="E362" i="3"/>
  <c r="E359" i="3"/>
  <c r="E357" i="3"/>
  <c r="E355" i="3"/>
  <c r="E353" i="3"/>
  <c r="E350" i="3"/>
  <c r="E347" i="3"/>
  <c r="E344" i="3"/>
  <c r="E341" i="3"/>
  <c r="E338" i="3"/>
  <c r="E335" i="3"/>
  <c r="E333" i="3"/>
  <c r="E329" i="3"/>
  <c r="E327" i="3"/>
  <c r="E236" i="3"/>
  <c r="E323" i="3"/>
  <c r="E320" i="3"/>
  <c r="E317" i="3"/>
  <c r="E315" i="3"/>
  <c r="E312" i="3"/>
  <c r="E310" i="3"/>
  <c r="E307" i="3"/>
  <c r="E304" i="3"/>
  <c r="E301" i="3"/>
  <c r="E298" i="3"/>
  <c r="E296" i="3"/>
  <c r="E294" i="3"/>
  <c r="E290" i="3"/>
  <c r="E288" i="3"/>
  <c r="E286" i="3"/>
  <c r="E283" i="3"/>
  <c r="E279" i="3"/>
  <c r="E277" i="3"/>
  <c r="E273" i="3"/>
  <c r="E269" i="3"/>
  <c r="E267" i="3"/>
  <c r="E265" i="3"/>
  <c r="E263" i="3"/>
  <c r="E260" i="3"/>
  <c r="E258" i="3"/>
  <c r="E256" i="3"/>
  <c r="E253" i="3"/>
  <c r="E249" i="3"/>
  <c r="E245" i="3"/>
  <c r="E242" i="3"/>
  <c r="E239" i="3"/>
  <c r="E234" i="3"/>
  <c r="E231" i="3"/>
  <c r="E229" i="3"/>
  <c r="E225" i="3"/>
  <c r="E224" i="3"/>
  <c r="E221" i="3"/>
  <c r="E217" i="3"/>
  <c r="E212" i="3"/>
  <c r="E209" i="3"/>
  <c r="E371" i="3"/>
  <c r="E372" i="3"/>
  <c r="E370" i="3"/>
  <c r="E368" i="3"/>
  <c r="E365" i="3"/>
  <c r="E363" i="3"/>
  <c r="E360" i="3"/>
  <c r="E358" i="3"/>
  <c r="E356" i="3"/>
  <c r="E352" i="3"/>
  <c r="E349" i="3"/>
  <c r="E346" i="3"/>
  <c r="E343" i="3"/>
  <c r="E340" i="3"/>
  <c r="E336" i="3"/>
  <c r="E334" i="3"/>
  <c r="E331" i="3"/>
  <c r="E328" i="3"/>
  <c r="E325" i="3"/>
  <c r="E321" i="3"/>
  <c r="E318" i="3"/>
  <c r="E316" i="3"/>
  <c r="E313" i="3"/>
  <c r="E311" i="3"/>
  <c r="E308" i="3"/>
  <c r="E306" i="3"/>
  <c r="E303" i="3"/>
  <c r="E299" i="3"/>
  <c r="E295" i="3"/>
  <c r="E293" i="3"/>
  <c r="E291" i="3"/>
  <c r="E287" i="3"/>
  <c r="E284" i="3"/>
  <c r="E281" i="3"/>
  <c r="E278" i="3"/>
  <c r="E276" i="3"/>
  <c r="E274" i="3"/>
  <c r="N701" i="1"/>
  <c r="E156" i="3"/>
  <c r="D368" i="3"/>
  <c r="D356" i="3"/>
  <c r="D351" i="3"/>
  <c r="D346" i="3"/>
  <c r="D343" i="3"/>
  <c r="D340" i="3"/>
  <c r="D336" i="3"/>
  <c r="D332" i="3"/>
  <c r="D328" i="3"/>
  <c r="D324" i="3"/>
  <c r="D321" i="3"/>
  <c r="D317" i="3"/>
  <c r="D314" i="3"/>
  <c r="D311" i="3"/>
  <c r="D306" i="3"/>
  <c r="D302" i="3"/>
  <c r="D297" i="3"/>
  <c r="D293" i="3"/>
  <c r="D290" i="3"/>
  <c r="D287" i="3"/>
  <c r="D284" i="3"/>
  <c r="D280" i="3"/>
  <c r="D277" i="3"/>
  <c r="D274" i="3"/>
  <c r="D269" i="3"/>
  <c r="D265" i="3"/>
  <c r="D262" i="3"/>
  <c r="D259" i="3"/>
  <c r="D256" i="3"/>
  <c r="D254" i="3"/>
  <c r="D251" i="3"/>
  <c r="D247" i="3"/>
  <c r="D242" i="3"/>
  <c r="D238" i="3"/>
  <c r="D235" i="3"/>
  <c r="D232" i="3"/>
  <c r="D229" i="3"/>
  <c r="D226" i="3"/>
  <c r="D222" i="3"/>
  <c r="D217" i="3"/>
  <c r="D212" i="3"/>
  <c r="D209" i="3"/>
  <c r="D206" i="3"/>
  <c r="D204" i="3"/>
  <c r="D201" i="3"/>
  <c r="D257" i="3"/>
  <c r="D253" i="3"/>
  <c r="D250" i="3"/>
  <c r="D248" i="3"/>
  <c r="D246" i="3"/>
  <c r="D244" i="3"/>
  <c r="D240" i="3"/>
  <c r="D237" i="3"/>
  <c r="D234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231" i="3"/>
  <c r="D228" i="3"/>
  <c r="D225" i="3"/>
  <c r="D223" i="3"/>
  <c r="D221" i="3"/>
  <c r="D219" i="3"/>
  <c r="D305" i="3"/>
  <c r="D216" i="3"/>
  <c r="D214" i="3"/>
  <c r="D211" i="3"/>
  <c r="D208" i="3"/>
  <c r="D205" i="3"/>
  <c r="D202" i="3"/>
  <c r="D199" i="3"/>
  <c r="D197" i="3"/>
  <c r="D372" i="3"/>
  <c r="D371" i="3"/>
  <c r="D367" i="3"/>
  <c r="D364" i="3"/>
  <c r="D361" i="3"/>
  <c r="D359" i="3"/>
  <c r="D357" i="3"/>
  <c r="D355" i="3"/>
  <c r="D353" i="3"/>
  <c r="D349" i="3"/>
  <c r="D347" i="3"/>
  <c r="D344" i="3"/>
  <c r="D341" i="3"/>
  <c r="D338" i="3"/>
  <c r="D334" i="3"/>
  <c r="D333" i="3"/>
  <c r="D330" i="3"/>
  <c r="D326" i="3"/>
  <c r="D325" i="3"/>
  <c r="D322" i="3"/>
  <c r="D319" i="3"/>
  <c r="D316" i="3"/>
  <c r="D313" i="3"/>
  <c r="D309" i="3"/>
  <c r="D307" i="3"/>
  <c r="D210" i="3"/>
  <c r="D303" i="3"/>
  <c r="D300" i="3"/>
  <c r="D298" i="3"/>
  <c r="D296" i="3"/>
  <c r="D294" i="3"/>
  <c r="D291" i="3"/>
  <c r="D288" i="3"/>
  <c r="D285" i="3"/>
  <c r="D282" i="3"/>
  <c r="D278" i="3"/>
  <c r="D275" i="3"/>
  <c r="D272" i="3"/>
  <c r="D271" i="3"/>
  <c r="D267" i="3"/>
  <c r="D264" i="3"/>
  <c r="D261" i="3"/>
  <c r="D258" i="3"/>
  <c r="D255" i="3"/>
  <c r="D252" i="3"/>
  <c r="D249" i="3"/>
  <c r="D245" i="3"/>
  <c r="D243" i="3"/>
  <c r="D241" i="3"/>
  <c r="D239" i="3"/>
  <c r="D236" i="3"/>
  <c r="D233" i="3"/>
  <c r="D230" i="3"/>
  <c r="D227" i="3"/>
  <c r="D224" i="3"/>
  <c r="D220" i="3"/>
  <c r="D218" i="3"/>
  <c r="D215" i="3"/>
  <c r="D213" i="3"/>
  <c r="D207" i="3"/>
  <c r="D203" i="3"/>
  <c r="D200" i="3"/>
  <c r="D198" i="3"/>
  <c r="D373" i="3"/>
  <c r="D370" i="3"/>
  <c r="D366" i="3"/>
  <c r="D365" i="3"/>
  <c r="D369" i="3"/>
  <c r="D363" i="3"/>
  <c r="D360" i="3"/>
  <c r="D358" i="3"/>
  <c r="D354" i="3"/>
  <c r="D352" i="3"/>
  <c r="D350" i="3"/>
  <c r="D348" i="3"/>
  <c r="D345" i="3"/>
  <c r="D342" i="3"/>
  <c r="D339" i="3"/>
  <c r="D337" i="3"/>
  <c r="D335" i="3"/>
  <c r="D331" i="3"/>
  <c r="D329" i="3"/>
  <c r="D327" i="3"/>
  <c r="D323" i="3"/>
  <c r="D320" i="3"/>
  <c r="D318" i="3"/>
  <c r="D315" i="3"/>
  <c r="D312" i="3"/>
  <c r="D310" i="3"/>
  <c r="D308" i="3"/>
  <c r="D304" i="3"/>
  <c r="D301" i="3"/>
  <c r="D299" i="3"/>
  <c r="D295" i="3"/>
  <c r="D292" i="3"/>
  <c r="D289" i="3"/>
  <c r="D286" i="3"/>
  <c r="D283" i="3"/>
  <c r="D281" i="3"/>
  <c r="D279" i="3"/>
  <c r="D276" i="3"/>
  <c r="D273" i="3"/>
  <c r="D270" i="3"/>
  <c r="D268" i="3"/>
  <c r="D266" i="3"/>
  <c r="D263" i="3"/>
  <c r="D260" i="3"/>
  <c r="N46" i="1"/>
  <c r="D15" i="3"/>
  <c r="N170" i="1"/>
  <c r="D69" i="3"/>
  <c r="N190" i="1"/>
  <c r="D65" i="3"/>
  <c r="D68" i="3"/>
  <c r="N193" i="1"/>
  <c r="D71" i="3"/>
  <c r="N194" i="1"/>
  <c r="D101" i="3"/>
  <c r="N211" i="1"/>
  <c r="D70" i="3"/>
  <c r="N212" i="1"/>
  <c r="D85" i="3"/>
  <c r="N213" i="1"/>
  <c r="D100" i="3"/>
  <c r="N226" i="1"/>
  <c r="D67" i="3"/>
  <c r="N227" i="1"/>
  <c r="D74" i="3"/>
  <c r="N246" i="1"/>
  <c r="D76" i="3"/>
  <c r="N254" i="1"/>
  <c r="D72" i="3"/>
  <c r="N265" i="1"/>
  <c r="D51" i="3"/>
  <c r="N266" i="1"/>
  <c r="D58" i="3"/>
  <c r="N35" i="1"/>
  <c r="D13" i="3"/>
  <c r="N36" i="1"/>
  <c r="D28" i="3"/>
  <c r="D106" i="3"/>
  <c r="N286" i="1"/>
  <c r="D78" i="3"/>
  <c r="D47" i="3"/>
  <c r="D77" i="3"/>
  <c r="N325" i="1"/>
  <c r="D79" i="3"/>
  <c r="N326" i="1"/>
  <c r="D86" i="3"/>
  <c r="N327" i="1"/>
  <c r="D93" i="3"/>
  <c r="N328" i="1"/>
  <c r="D102" i="3"/>
  <c r="N330" i="1"/>
  <c r="D64" i="3"/>
  <c r="N332" i="1"/>
  <c r="D92" i="3"/>
  <c r="N334" i="1"/>
  <c r="D81" i="3"/>
  <c r="N335" i="1"/>
  <c r="D66" i="3"/>
  <c r="N336" i="1"/>
  <c r="D73" i="3"/>
  <c r="N337" i="1"/>
  <c r="D80" i="3"/>
  <c r="N338" i="1"/>
  <c r="D87" i="3"/>
  <c r="N339" i="1"/>
  <c r="D94" i="3"/>
  <c r="N365" i="1"/>
  <c r="D82" i="3"/>
  <c r="N366" i="1"/>
  <c r="D112" i="3"/>
  <c r="N408" i="1"/>
  <c r="D84" i="3"/>
  <c r="N409" i="1"/>
  <c r="D91" i="3"/>
  <c r="N419" i="1"/>
  <c r="D61" i="3"/>
  <c r="N455" i="1"/>
  <c r="D96" i="3"/>
  <c r="N467" i="1"/>
  <c r="D88" i="3"/>
  <c r="N468" i="1"/>
  <c r="D103" i="3"/>
  <c r="N475" i="1"/>
  <c r="D111" i="3"/>
  <c r="N479" i="1"/>
  <c r="D83" i="3"/>
  <c r="N506" i="1"/>
  <c r="D104" i="3"/>
  <c r="N519" i="1"/>
  <c r="D75" i="3"/>
  <c r="N520" i="1"/>
  <c r="D105" i="3"/>
  <c r="N545" i="1"/>
  <c r="D108" i="3"/>
  <c r="N558" i="1"/>
  <c r="D90" i="3"/>
  <c r="N581" i="1"/>
  <c r="D98" i="3"/>
  <c r="N660" i="1"/>
  <c r="D89" i="3"/>
  <c r="N676" i="1"/>
  <c r="D97" i="3"/>
  <c r="N683" i="1"/>
  <c r="D107" i="3"/>
  <c r="N692" i="1"/>
  <c r="D171" i="3"/>
  <c r="N712" i="1"/>
  <c r="D114" i="3"/>
  <c r="N741" i="1"/>
  <c r="D109" i="3"/>
  <c r="D9" i="3"/>
  <c r="I9" i="11"/>
  <c r="I8" i="11"/>
  <c r="F9" i="11"/>
  <c r="F8" i="11"/>
  <c r="E9" i="11"/>
  <c r="E8" i="11"/>
  <c r="N44" i="1"/>
  <c r="H17" i="8"/>
  <c r="E17" i="8"/>
  <c r="D17" i="8"/>
  <c r="G7" i="9"/>
  <c r="F10" i="9"/>
  <c r="D7" i="8"/>
  <c r="H11" i="8"/>
  <c r="D10" i="8"/>
  <c r="H21" i="8"/>
  <c r="E12" i="8"/>
  <c r="D14" i="8"/>
  <c r="E15" i="8"/>
  <c r="D8" i="8"/>
  <c r="H7" i="8"/>
  <c r="E11" i="8"/>
  <c r="E13" i="8"/>
  <c r="H13" i="8"/>
  <c r="E7" i="8"/>
  <c r="H14" i="8"/>
  <c r="H16" i="8"/>
  <c r="D13" i="8"/>
  <c r="H20" i="8"/>
  <c r="D15" i="8"/>
  <c r="H10" i="8"/>
  <c r="D12" i="8"/>
  <c r="H12" i="8"/>
  <c r="E16" i="8"/>
  <c r="E8" i="8"/>
  <c r="D16" i="8"/>
  <c r="D9" i="8"/>
  <c r="H9" i="8"/>
  <c r="D11" i="8"/>
  <c r="E14" i="8"/>
  <c r="E9" i="8"/>
  <c r="H8" i="8"/>
  <c r="E10" i="8"/>
  <c r="H15" i="8"/>
  <c r="L21" i="4"/>
  <c r="L22" i="4"/>
  <c r="L18" i="4"/>
  <c r="L13" i="4"/>
  <c r="L6" i="4"/>
  <c r="L5" i="4"/>
  <c r="L17" i="4"/>
  <c r="L14" i="4"/>
  <c r="L12" i="4"/>
  <c r="L11" i="4"/>
  <c r="L10" i="4"/>
  <c r="L9" i="4"/>
  <c r="L8" i="4"/>
  <c r="L7" i="4"/>
  <c r="L4" i="4"/>
  <c r="I21" i="4"/>
  <c r="H21" i="4"/>
  <c r="C9" i="4"/>
  <c r="C10" i="4" s="1"/>
  <c r="E10" i="4" s="1"/>
  <c r="E8" i="4"/>
  <c r="I8" i="4"/>
  <c r="H8" i="4"/>
  <c r="I13" i="4"/>
  <c r="I11" i="4"/>
  <c r="I5" i="4"/>
  <c r="I12" i="4"/>
  <c r="I10" i="4"/>
  <c r="I7" i="4"/>
  <c r="I6" i="4"/>
  <c r="I9" i="4"/>
  <c r="I4" i="4"/>
  <c r="H13" i="4"/>
  <c r="H10" i="4"/>
  <c r="H9" i="4"/>
  <c r="H5" i="4"/>
  <c r="H12" i="4"/>
  <c r="H11" i="4"/>
  <c r="H7" i="4"/>
  <c r="H6" i="4"/>
  <c r="H4" i="4"/>
  <c r="D11" i="4"/>
  <c r="I22" i="4"/>
  <c r="H22" i="4"/>
  <c r="E7" i="3" l="1"/>
  <c r="F17" i="8"/>
  <c r="D22" i="8"/>
  <c r="F16" i="8"/>
  <c r="E10" i="9"/>
  <c r="G10" i="9" s="1"/>
  <c r="D7" i="3"/>
  <c r="G8" i="11"/>
  <c r="G9" i="11"/>
  <c r="F15" i="8"/>
  <c r="F7" i="8"/>
  <c r="F12" i="8"/>
  <c r="F8" i="8"/>
  <c r="F14" i="8"/>
  <c r="H22" i="8"/>
  <c r="F13" i="8"/>
  <c r="F11" i="8"/>
  <c r="F9" i="8"/>
  <c r="E22" i="8"/>
  <c r="F10" i="8"/>
  <c r="J9" i="4"/>
  <c r="J8" i="4"/>
  <c r="J11" i="4"/>
  <c r="J10" i="4"/>
  <c r="J12" i="4"/>
  <c r="J6" i="4"/>
  <c r="J5" i="4"/>
  <c r="J13" i="4"/>
  <c r="J7" i="4"/>
  <c r="J4" i="4"/>
  <c r="J22" i="4"/>
  <c r="J21" i="4"/>
  <c r="L19" i="4"/>
  <c r="E9" i="4"/>
  <c r="C11" i="4"/>
  <c r="E11" i="4" s="1"/>
  <c r="I19" i="4"/>
  <c r="H19" i="4"/>
  <c r="F4" i="3" l="1"/>
  <c r="F22" i="8"/>
  <c r="J19" i="4"/>
  <c r="E3" i="4" s="1"/>
  <c r="E4" i="4" l="1"/>
</calcChain>
</file>

<file path=xl/sharedStrings.xml><?xml version="1.0" encoding="utf-8"?>
<sst xmlns="http://schemas.openxmlformats.org/spreadsheetml/2006/main" count="7782" uniqueCount="655">
  <si>
    <t>ALUFORCE</t>
  </si>
  <si>
    <t>BRITO AGRO FERRAGENS E MATERIAIS PARA CONSTRUCAO LTDA</t>
  </si>
  <si>
    <t>GASPARZINHO DISTRIBUIDORA DE MATERIAIS ELETRICOS LTDA</t>
  </si>
  <si>
    <t>CASA DAS CONEXOES ELETRICOS E HIDRAULICA LTDA</t>
  </si>
  <si>
    <t>ELETRONILDO MATERIAL DE CONSTRUCAO LTDA</t>
  </si>
  <si>
    <t>CONSTRUFACIL MATERIAL DE CONSTRUCAO HOMECENTER LTDA</t>
  </si>
  <si>
    <t>ELETRO MARKS COMERCIO DE MATERIAIS PARA CONSTRUCAO E SERVICOS</t>
  </si>
  <si>
    <t>LABOR</t>
  </si>
  <si>
    <t>J C CONSTRUCOES LTDA</t>
  </si>
  <si>
    <t>ELETRON COMERCIO DE PECAS E GERADORES LTDA</t>
  </si>
  <si>
    <t>RDM CAMPINAS COMERCIO DE MATERIAIS ELETRICOS LTDA</t>
  </si>
  <si>
    <t>ANGSTROM SERVICOS LTDA</t>
  </si>
  <si>
    <t>ELETRICA BEL MATERIAIS ELETRICOS LTDA</t>
  </si>
  <si>
    <t>FABIANO VENTURELLI TREVISO</t>
  </si>
  <si>
    <t>RDM CAPINAS COMERCIO DE MATERIAIS ELETRICOS LTDA</t>
  </si>
  <si>
    <t xml:space="preserve">ILUMINACAO PAULISTANA SPE S/A </t>
  </si>
  <si>
    <t>PRISMA COMERCIO E CONSTRUCAO LTDA</t>
  </si>
  <si>
    <t>COMERCIAL RURAL XINGU LTDA</t>
  </si>
  <si>
    <t>ELETRO CABRAL COMERCIO E SERVICOS DE MATERIAIS ELETRICOS LTDA</t>
  </si>
  <si>
    <t>DME DISTRIBUIDORA DE MATERIAIS ELETRICOS LTDA</t>
  </si>
  <si>
    <t>BARRA MANSA COMERCIO E REPRESENTACAO LTDA</t>
  </si>
  <si>
    <t>EGIDIO &amp; CAETANO - EXECUCOES ELETRICAS LTDA</t>
  </si>
  <si>
    <t>PACO MATERIAIS PARA CONSTRUCAO LTDA</t>
  </si>
  <si>
    <t>AM SOLUCOES E SERVICOS INTELIGENTES LTDA</t>
  </si>
  <si>
    <t>ILUMINACAO PAULISTANA SPE S/A</t>
  </si>
  <si>
    <t>CONSORCIO SMART CITY SP</t>
  </si>
  <si>
    <t>IMPACTO ELETRICA LTDA</t>
  </si>
  <si>
    <t>ELETRO PADUA LTDA</t>
  </si>
  <si>
    <t>AMPLAMED INDUSTRIA E COMERCIO LTDA</t>
  </si>
  <si>
    <t>ROSA SUL SERVICOS ELETRICOS E FLORESTAIS LTDA</t>
  </si>
  <si>
    <t>ILUMINAR DISTRIBUIDORA LTDA</t>
  </si>
  <si>
    <t>SIGMA ENGENHARIA INDUSTRIA E COMERCIO LTDA</t>
  </si>
  <si>
    <t xml:space="preserve">CONSORCIO ALQUES -J N R </t>
  </si>
  <si>
    <t xml:space="preserve">MIKE S DE OLIVEIRA LTDA </t>
  </si>
  <si>
    <t>COMERCIAL ELETRICOL LTDA</t>
  </si>
  <si>
    <t>PETROLLUZ MATERIAIS ELETRICOS LTDA</t>
  </si>
  <si>
    <t>EMISSÃO</t>
  </si>
  <si>
    <t>TIPO</t>
  </si>
  <si>
    <t>NFe</t>
  </si>
  <si>
    <t>CLIENTE</t>
  </si>
  <si>
    <t>EMPRESA</t>
  </si>
  <si>
    <t>NF</t>
  </si>
  <si>
    <t>VCTO</t>
  </si>
  <si>
    <t>F9</t>
  </si>
  <si>
    <t>PORTADOR</t>
  </si>
  <si>
    <t>CNPJ</t>
  </si>
  <si>
    <t>55.435.066/0001-04</t>
  </si>
  <si>
    <t>4.126.717/0001-35</t>
  </si>
  <si>
    <t>2.042.020/0001-50</t>
  </si>
  <si>
    <t>21.317.930/0001-43</t>
  </si>
  <si>
    <t>60.547.637/0001-24</t>
  </si>
  <si>
    <t>07.145.932/0001-71</t>
  </si>
  <si>
    <t>13.844.828/0001-78</t>
  </si>
  <si>
    <t>30.126.357/0001-81</t>
  </si>
  <si>
    <t>23.899.714/0001-89</t>
  </si>
  <si>
    <t>21.826.291/0001-41</t>
  </si>
  <si>
    <t>25.967.193/0001-85</t>
  </si>
  <si>
    <t>12.524.415/0001-43</t>
  </si>
  <si>
    <t>02.042.020/0001-50</t>
  </si>
  <si>
    <t>29.851.606/0001-12</t>
  </si>
  <si>
    <t>01.044.856/0001-21</t>
  </si>
  <si>
    <t>71.883.219/0001-24</t>
  </si>
  <si>
    <t>44.886.127/0001-25</t>
  </si>
  <si>
    <t>51.604.560/0001-96</t>
  </si>
  <si>
    <t>11.217.886/0001-46</t>
  </si>
  <si>
    <t>102987040001-46</t>
  </si>
  <si>
    <t>55.060.017/0001-26</t>
  </si>
  <si>
    <t>35.963.214/0001-48</t>
  </si>
  <si>
    <t>02.493.174/0001-69</t>
  </si>
  <si>
    <t>46.983.761/0001-01</t>
  </si>
  <si>
    <t>25.898.180/0001-00</t>
  </si>
  <si>
    <t>40.919.972/0001-07</t>
  </si>
  <si>
    <t>AUGURI</t>
  </si>
  <si>
    <t>CAPITAL ANNEX</t>
  </si>
  <si>
    <t>CONTINENTAL</t>
  </si>
  <si>
    <t>DEL MONTE</t>
  </si>
  <si>
    <t>FAMA</t>
  </si>
  <si>
    <t>H8</t>
  </si>
  <si>
    <t>ITAU</t>
  </si>
  <si>
    <t>LEPTA</t>
  </si>
  <si>
    <t>ONIX</t>
  </si>
  <si>
    <t>VALE RIO CLARO</t>
  </si>
  <si>
    <t>DISPONÍVEL</t>
  </si>
  <si>
    <t>STATUS</t>
  </si>
  <si>
    <t>VENCIDO</t>
  </si>
  <si>
    <t>A VENCER</t>
  </si>
  <si>
    <t>LIQUIDADO</t>
  </si>
  <si>
    <t>RECOMPRADO</t>
  </si>
  <si>
    <t>DATA</t>
  </si>
  <si>
    <t>SITUAÇÃO</t>
  </si>
  <si>
    <t>CARTEIRA</t>
  </si>
  <si>
    <t>OPERADO</t>
  </si>
  <si>
    <t>001</t>
  </si>
  <si>
    <t>P</t>
  </si>
  <si>
    <t>VALOR P</t>
  </si>
  <si>
    <t>002</t>
  </si>
  <si>
    <t>003</t>
  </si>
  <si>
    <t>004</t>
  </si>
  <si>
    <t>005</t>
  </si>
  <si>
    <t>006</t>
  </si>
  <si>
    <t>MNS MOREIRA COMERCIO DE ILUMINACAO LTDA</t>
  </si>
  <si>
    <t>08.752.660/0001-30</t>
  </si>
  <si>
    <t>POSIÇÃO</t>
  </si>
  <si>
    <t>TOTAL</t>
  </si>
  <si>
    <t>PARCEIRO</t>
  </si>
  <si>
    <t>TOTAL GERAL</t>
  </si>
  <si>
    <t>RESUMO CONTAS A RECEBER</t>
  </si>
  <si>
    <t>CHECK</t>
  </si>
  <si>
    <t>ENERGY</t>
  </si>
  <si>
    <t>CONTAS A RECEBER - DIÁRIO</t>
  </si>
  <si>
    <t>VALOR</t>
  </si>
  <si>
    <t>HOJE</t>
  </si>
  <si>
    <t>MCFEE CONSTRUCOES &amp; ELETRIFICACOES L</t>
  </si>
  <si>
    <t>JULIO CESAR F SOUSA SERVICOS LTDA</t>
  </si>
  <si>
    <t>EXCEL DISTRIBUICAO DE MATERIAL ELETRICO LTDA</t>
  </si>
  <si>
    <t>IM DOS REIS ALUFORCE INDUSTRIA E COMERCIO DE CONDUTORES EL</t>
  </si>
  <si>
    <t>M DOS REIS ALUFORCE INDUSTRIA E COMERCIO DE CONDUTORES EL</t>
  </si>
  <si>
    <t xml:space="preserve">LUCAS JOSE DE PADUA SANTOS </t>
  </si>
  <si>
    <t>CLO 2 EMPREENDIMENTO IMOBILIARIO SPE LTDA</t>
  </si>
  <si>
    <t>B C O COMERCIO</t>
  </si>
  <si>
    <t xml:space="preserve">SOL LUZ COMERCIO DE MATERIAIS ELETRICOS LTDA </t>
  </si>
  <si>
    <t xml:space="preserve">PRELUZ ELETRICIDADE E SERVICOS LTDA </t>
  </si>
  <si>
    <t xml:space="preserve">MUNDO ELETRICO BARRETOS COMERCIAL LTDA </t>
  </si>
  <si>
    <t xml:space="preserve">RIGO MATERIAIS ELETRICOS E HIDRAULICOS LTDA </t>
  </si>
  <si>
    <t xml:space="preserve">G M DA SILVA LTDA </t>
  </si>
  <si>
    <t>A VISTA</t>
  </si>
  <si>
    <t>41.750.320/0001-46</t>
  </si>
  <si>
    <t>43.563.707/0001-19</t>
  </si>
  <si>
    <t>48.882.323/0001-82</t>
  </si>
  <si>
    <t>05.863.590/0001-08</t>
  </si>
  <si>
    <t>16.436.794/0001-70</t>
  </si>
  <si>
    <t>08.517.938/0001-95</t>
  </si>
  <si>
    <t>19.539.895/0001-65</t>
  </si>
  <si>
    <t>A RECEBER</t>
  </si>
  <si>
    <t>RECEBIDO</t>
  </si>
  <si>
    <t>SUBTOTAL</t>
  </si>
  <si>
    <t>KHAVA</t>
  </si>
  <si>
    <t>55.236.338/0001-39</t>
  </si>
  <si>
    <t>33.015.943/0001-47</t>
  </si>
  <si>
    <t>OBSERVAÇÃO</t>
  </si>
  <si>
    <t>46.864.361/0001-87</t>
  </si>
  <si>
    <t>07.931.533/0001-36</t>
  </si>
  <si>
    <t>68.192.475/0001-60</t>
  </si>
  <si>
    <t>23.254.970/0001-19</t>
  </si>
  <si>
    <t>58.246.059/0001-44</t>
  </si>
  <si>
    <t>22.991.072/0001-80</t>
  </si>
  <si>
    <t>37.910.277/0001-61</t>
  </si>
  <si>
    <t>10.298.704/0001-46</t>
  </si>
  <si>
    <t>03.604.844/0001-30</t>
  </si>
  <si>
    <t>CARTORIO</t>
  </si>
  <si>
    <t>CARTÓRIO</t>
  </si>
  <si>
    <t>FUNDO</t>
  </si>
  <si>
    <t>DATA2</t>
  </si>
  <si>
    <t>DATA3</t>
  </si>
  <si>
    <t>DADOS DA NF</t>
  </si>
  <si>
    <t>OPERAÇÕES FINANCEIRAS</t>
  </si>
  <si>
    <t>LIQUIDADO/RECOMPRADO</t>
  </si>
  <si>
    <t>STATUS DA RECOMPRA</t>
  </si>
  <si>
    <t>RECOMPRA</t>
  </si>
  <si>
    <t>POSIÇÃO DOS FUNDOS/FIDCS</t>
  </si>
  <si>
    <t>Rótulos de Linha</t>
  </si>
  <si>
    <t>Total Geral</t>
  </si>
  <si>
    <t>jan</t>
  </si>
  <si>
    <t>fev</t>
  </si>
  <si>
    <t>mar</t>
  </si>
  <si>
    <t>abr</t>
  </si>
  <si>
    <t>Rótulos de Coluna</t>
  </si>
  <si>
    <t>Soma de VALOR P</t>
  </si>
  <si>
    <t>SIMULACAO PRAZO MEDIO</t>
  </si>
  <si>
    <t>SIMULACAO TAXA ACORDADA</t>
  </si>
  <si>
    <t>TAXA ACORDADA</t>
  </si>
  <si>
    <t>PRAZO MEDIO +</t>
  </si>
  <si>
    <t>DT OPERACAO</t>
  </si>
  <si>
    <t>D +</t>
  </si>
  <si>
    <t>CALCULO PM</t>
  </si>
  <si>
    <t>PM PONDERADO</t>
  </si>
  <si>
    <t>TOTAL BRUTO</t>
  </si>
  <si>
    <t>QTD. TITULO</t>
  </si>
  <si>
    <t>DT VENCIMENTO</t>
  </si>
  <si>
    <t>PRAZO NOMINAL</t>
  </si>
  <si>
    <t>PRAZO D+X</t>
  </si>
  <si>
    <t>PR X VALOR</t>
  </si>
  <si>
    <t>ATIVA</t>
  </si>
  <si>
    <t>CÓDIGO</t>
  </si>
  <si>
    <t>INSTITUICAO</t>
  </si>
  <si>
    <t>TIPO OPERACAO</t>
  </si>
  <si>
    <t>TIPO INSTITUICAO</t>
  </si>
  <si>
    <t>TAR DE COB</t>
  </si>
  <si>
    <t>REEMB TED / TRANSF</t>
  </si>
  <si>
    <t>ANALISE E CONTRATO</t>
  </si>
  <si>
    <t>REEMB ASSINAT DIG</t>
  </si>
  <si>
    <t>REEMB SERASA</t>
  </si>
  <si>
    <t>TAC</t>
  </si>
  <si>
    <t>TIPO OPERAÇÃO</t>
  </si>
  <si>
    <t>BOLETO</t>
  </si>
  <si>
    <t>OLAM</t>
  </si>
  <si>
    <t>FIDC</t>
  </si>
  <si>
    <t>RDF</t>
  </si>
  <si>
    <t>ACREDITAR</t>
  </si>
  <si>
    <t>PRAZO MEDIO</t>
  </si>
  <si>
    <t>KREDITARE</t>
  </si>
  <si>
    <t>VALOR BRUTO</t>
  </si>
  <si>
    <t>ASIA</t>
  </si>
  <si>
    <t>VALOR LIQUIDO</t>
  </si>
  <si>
    <t>MOKA</t>
  </si>
  <si>
    <t>FOMENTO</t>
  </si>
  <si>
    <t>JUROS</t>
  </si>
  <si>
    <t>CHEQUE</t>
  </si>
  <si>
    <t>MULTA</t>
  </si>
  <si>
    <t>VIP</t>
  </si>
  <si>
    <t>FACT</t>
  </si>
  <si>
    <t>VALOR MULTA</t>
  </si>
  <si>
    <t>LANA</t>
  </si>
  <si>
    <t>IOSAN</t>
  </si>
  <si>
    <t xml:space="preserve">ACTIVA </t>
  </si>
  <si>
    <t>LIQ. OPERAÇÃO</t>
  </si>
  <si>
    <t>GENEBRA</t>
  </si>
  <si>
    <t>TOTAL DEDUÇÕES</t>
  </si>
  <si>
    <t>TAXA COBRADA</t>
  </si>
  <si>
    <t>COMISSARIA</t>
  </si>
  <si>
    <t>DIFERENCA</t>
  </si>
  <si>
    <t>SQUARE</t>
  </si>
  <si>
    <t>DIFERENCA %</t>
  </si>
  <si>
    <t>SOMA</t>
  </si>
  <si>
    <t>VALINVEST</t>
  </si>
  <si>
    <t>SEC</t>
  </si>
  <si>
    <t>ANTARES</t>
  </si>
  <si>
    <t>MFM</t>
  </si>
  <si>
    <t>PF</t>
  </si>
  <si>
    <t>DXM</t>
  </si>
  <si>
    <t>SP INVEST</t>
  </si>
  <si>
    <t>INVISTA</t>
  </si>
  <si>
    <t>MATURITY</t>
  </si>
  <si>
    <t>BANICRED</t>
  </si>
  <si>
    <t>GFM</t>
  </si>
  <si>
    <t>LOTUS</t>
  </si>
  <si>
    <t>RSS</t>
  </si>
  <si>
    <t>SIGMA</t>
  </si>
  <si>
    <t>REAL TIME</t>
  </si>
  <si>
    <t>BLACKBIRD</t>
  </si>
  <si>
    <t>ERM</t>
  </si>
  <si>
    <t>GPR CAPITAL</t>
  </si>
  <si>
    <t>CUSTAS</t>
  </si>
  <si>
    <t>BRR</t>
  </si>
  <si>
    <t>IRMAOS BOA</t>
  </si>
  <si>
    <t>RISCO SACADO</t>
  </si>
  <si>
    <t>RSC</t>
  </si>
  <si>
    <t>HERCULES</t>
  </si>
  <si>
    <t>BOLETO ESPECIAL</t>
  </si>
  <si>
    <t>NOBEL</t>
  </si>
  <si>
    <t>GOAL</t>
  </si>
  <si>
    <t>DÍNAMO</t>
  </si>
  <si>
    <t>VALECRED</t>
  </si>
  <si>
    <t>HOPE</t>
  </si>
  <si>
    <t>INSTITUIÇÃO</t>
  </si>
  <si>
    <t>20.596.400/0001-19</t>
  </si>
  <si>
    <t>DIAS</t>
  </si>
  <si>
    <t xml:space="preserve">VALTER ARAUJO NAVES </t>
  </si>
  <si>
    <t>COMERCIO MARTINS LTDA</t>
  </si>
  <si>
    <t xml:space="preserve">J V M SANTANA MATERIAL ELETRICO </t>
  </si>
  <si>
    <t xml:space="preserve">ALT MATERIAIS ELETRICOS LTDA </t>
  </si>
  <si>
    <t xml:space="preserve">X7 PADROES LTDA </t>
  </si>
  <si>
    <t xml:space="preserve">EDL INSTALACOES E CONSTRUCOES LTDA </t>
  </si>
  <si>
    <t>BRASIL AUTOMACAO INDUSTRIAL LTDA</t>
  </si>
  <si>
    <t>LUZ ATUAL ILUMINACAO LTDA</t>
  </si>
  <si>
    <t xml:space="preserve">ELETRICA JACUIPE LTDA </t>
  </si>
  <si>
    <t xml:space="preserve">BANCO NUBANK </t>
  </si>
  <si>
    <t xml:space="preserve">COMERCIAL MARTINS LTDA </t>
  </si>
  <si>
    <t xml:space="preserve">IVAM FELIPE </t>
  </si>
  <si>
    <t xml:space="preserve">DISTRIBUIDORA KANAL LTDA </t>
  </si>
  <si>
    <t xml:space="preserve">ELETRO XV MATERIAIS ELETRICOS LTDA </t>
  </si>
  <si>
    <t xml:space="preserve">GILSON FREITAS DE SOUZA </t>
  </si>
  <si>
    <t xml:space="preserve">COMERCIAL ELETRICA V M LTDA </t>
  </si>
  <si>
    <t xml:space="preserve">IM  CONDUTORES ELETRICOS </t>
  </si>
  <si>
    <t xml:space="preserve">FERLIN &amp; ANDRADE MATERIAIS ELETRICOS LTDA </t>
  </si>
  <si>
    <t xml:space="preserve">GERSON OSVALDO PLENTZ </t>
  </si>
  <si>
    <t xml:space="preserve">ALTIPLANO MAMANGUAPE EMPREENDIMENTOS IMOBILIARIOS SPE LTDA </t>
  </si>
  <si>
    <t xml:space="preserve">L E L MATERIAIS ELETRICOS LTDA </t>
  </si>
  <si>
    <t xml:space="preserve">EMILIO MATERIAS ELETRICOS LTDA </t>
  </si>
  <si>
    <t xml:space="preserve">ELETRO DE PADUA LTDA </t>
  </si>
  <si>
    <t xml:space="preserve">PRM COMERCIO DE FERRAGENS LTDA </t>
  </si>
  <si>
    <t xml:space="preserve">REGINA ALVES DA COSTA </t>
  </si>
  <si>
    <t xml:space="preserve">H7 EMPREENDIMENTOS E SERVICOS DE ILUMINACAO LTDA </t>
  </si>
  <si>
    <t xml:space="preserve">MERITO CENTER LTDA </t>
  </si>
  <si>
    <t>217</t>
  </si>
  <si>
    <t>675</t>
  </si>
  <si>
    <t>218</t>
  </si>
  <si>
    <t>674</t>
  </si>
  <si>
    <t>230</t>
  </si>
  <si>
    <t>232</t>
  </si>
  <si>
    <t>233</t>
  </si>
  <si>
    <t>234</t>
  </si>
  <si>
    <t>690</t>
  </si>
  <si>
    <t>689</t>
  </si>
  <si>
    <t>239</t>
  </si>
  <si>
    <t>255</t>
  </si>
  <si>
    <t>CABEDAL  MATERIAIS ELETRICOS LTDA</t>
  </si>
  <si>
    <t>ELETRIFICAR COMERCIO DE FERRAGENS FERRAMENTAS E PRODUTOS PA</t>
  </si>
  <si>
    <t>L P MARINHO MATERIAIS ELETRICOS LTDA</t>
  </si>
  <si>
    <t>CONSORCIO ALQUES - J.N.R</t>
  </si>
  <si>
    <t>ENERGIZE COMERCIO E SERVICOS DE MATERIAIS ELETRICOS LTDA</t>
  </si>
  <si>
    <t>COMERCIAL MARTINS LTDA</t>
  </si>
  <si>
    <t>M.S. COMERCIO DE MATERIAIS E MANUTENCOES ELETRICAS LTDA</t>
  </si>
  <si>
    <t>SOCIEDADE DE BEBIDAS MALACARNE LTDA</t>
  </si>
  <si>
    <t>FERLIN &amp; ANDRADE MATERIAIS ELETRICOS LTDA</t>
  </si>
  <si>
    <t>676</t>
  </si>
  <si>
    <t>677</t>
  </si>
  <si>
    <t>685</t>
  </si>
  <si>
    <t>236</t>
  </si>
  <si>
    <t>237</t>
  </si>
  <si>
    <t>238</t>
  </si>
  <si>
    <t>MCFEE CONSTRUCOES E ELETRIFICAÇOES LTDA</t>
  </si>
  <si>
    <t>MENG ENGENHARIA COMERCIO E INDUSTRIA LTDA.</t>
  </si>
  <si>
    <t>220</t>
  </si>
  <si>
    <t>221</t>
  </si>
  <si>
    <t>226</t>
  </si>
  <si>
    <t>4269</t>
  </si>
  <si>
    <t>4270</t>
  </si>
  <si>
    <t>4271</t>
  </si>
  <si>
    <t>4272</t>
  </si>
  <si>
    <t>4274</t>
  </si>
  <si>
    <t>248</t>
  </si>
  <si>
    <t>4277</t>
  </si>
  <si>
    <t>4279</t>
  </si>
  <si>
    <t>246</t>
  </si>
  <si>
    <t>4278</t>
  </si>
  <si>
    <t>250</t>
  </si>
  <si>
    <t>4280</t>
  </si>
  <si>
    <t>249</t>
  </si>
  <si>
    <t>258</t>
  </si>
  <si>
    <t>259</t>
  </si>
  <si>
    <t>4281</t>
  </si>
  <si>
    <t>ELETROREDE LTDA</t>
  </si>
  <si>
    <t>LF ELETRIFICACOES LTDA</t>
  </si>
  <si>
    <t>COMERCIAL ELETRICA PAPIRO LTDA</t>
  </si>
  <si>
    <t>IM CONDUTORES ELETRICOS LTDA</t>
  </si>
  <si>
    <t>R.A. MATERIAIS ELETRICOS E DECORACOES LTDA</t>
  </si>
  <si>
    <t>CORREIA ATACADO MATERIAL ELETRICO LTDA</t>
  </si>
  <si>
    <t>RUANA XAVIER DE ALMEIDA DA SILVA</t>
  </si>
  <si>
    <t>ATUALLLED DISTRIBUIDORA DE MATERIAIS ELETRICOS LTDA</t>
  </si>
  <si>
    <t>TF TRANSFORMOTORES LTDA</t>
  </si>
  <si>
    <t>ADRIANA POSTE PADRAO E SERVICOS LTDA</t>
  </si>
  <si>
    <t>IMPERIO DA CONSTRUCAO LTDA</t>
  </si>
  <si>
    <t>AL CONESUL VALVULAS INDUSTRIAIS LTDA</t>
  </si>
  <si>
    <t>HOSP CENTER COMERCIO DE PRODUTOS ODONTO-MEDICO-HOSPITALAR LTDA</t>
  </si>
  <si>
    <t>MORAIS &amp; MARTINS LTDA</t>
  </si>
  <si>
    <t>IVAM FELIPE</t>
  </si>
  <si>
    <t>256</t>
  </si>
  <si>
    <t>257</t>
  </si>
  <si>
    <t>comissaria</t>
  </si>
  <si>
    <t>223</t>
  </si>
  <si>
    <t>225</t>
  </si>
  <si>
    <t>247</t>
  </si>
  <si>
    <t>697</t>
  </si>
  <si>
    <t>P MARGOTTI MACHADO LTDA</t>
  </si>
  <si>
    <t xml:space="preserve">TEREZINA LUZ S. A </t>
  </si>
  <si>
    <t>50.160.305/0001-39</t>
  </si>
  <si>
    <t>20.112.049/0001-43</t>
  </si>
  <si>
    <t>01.532.397/0001-25</t>
  </si>
  <si>
    <t>47.717.410/0001-11</t>
  </si>
  <si>
    <t>20.891.953/0001-02</t>
  </si>
  <si>
    <t>24.710.525/0001-89</t>
  </si>
  <si>
    <t>11.505.308/0001-05</t>
  </si>
  <si>
    <t>28.876.680/0001-20</t>
  </si>
  <si>
    <t>08.183.094/0001-93</t>
  </si>
  <si>
    <t>22.269.466/0001-20</t>
  </si>
  <si>
    <t>14.650.232/0001-08</t>
  </si>
  <si>
    <t>04.528.571/0001-54</t>
  </si>
  <si>
    <t>91.639.724/0001-35</t>
  </si>
  <si>
    <t>49.670.524/0001-89</t>
  </si>
  <si>
    <t>36.681.899/0001-00</t>
  </si>
  <si>
    <t>30.525.936/0001-05</t>
  </si>
  <si>
    <t>12.659.075/0001-68</t>
  </si>
  <si>
    <t>07.453.496/0001-06</t>
  </si>
  <si>
    <t>59.486.840/0001-59</t>
  </si>
  <si>
    <t>10.723.181/0001-38</t>
  </si>
  <si>
    <t>39.015.045/0001-75</t>
  </si>
  <si>
    <t>33.485.605/0001-79</t>
  </si>
  <si>
    <t>16.642.091/0001-07</t>
  </si>
  <si>
    <t>09.232.518/0001-25</t>
  </si>
  <si>
    <t>36.108.548/0001-05</t>
  </si>
  <si>
    <t>IGNIS</t>
  </si>
  <si>
    <t>mai</t>
  </si>
  <si>
    <t>dez</t>
  </si>
  <si>
    <t>53.268.333/0001-62</t>
  </si>
  <si>
    <t>27.368.821/0001-31</t>
  </si>
  <si>
    <t>CASA DA ELETRICIDADE LTDA</t>
  </si>
  <si>
    <t xml:space="preserve">ILUMINAÇÃO PAULISTANA SPE S/A </t>
  </si>
  <si>
    <t xml:space="preserve">COMISSARIA </t>
  </si>
  <si>
    <t xml:space="preserve">FOKUS BRASIL SINALIZACAO VIARIA LTDA </t>
  </si>
  <si>
    <t>05.534.501/0001-71</t>
  </si>
  <si>
    <t>CONSORCIO OPERACAO CTA</t>
  </si>
  <si>
    <t>50.475.050/0001-01</t>
  </si>
  <si>
    <t xml:space="preserve">BOLETOS ENVIADOS </t>
  </si>
  <si>
    <t xml:space="preserve">BOLETOS ENCAMINHADOS </t>
  </si>
  <si>
    <t>33.411.123/0001-74</t>
  </si>
  <si>
    <t xml:space="preserve">ENERGY COMERCIO LTDA </t>
  </si>
  <si>
    <t xml:space="preserve">Cliente informa que pagamento será feito até a data de amanhã 04/02 </t>
  </si>
  <si>
    <t xml:space="preserve">JESLER KENDY RAFAEL </t>
  </si>
  <si>
    <t xml:space="preserve">Antecipou o pagamento </t>
  </si>
  <si>
    <t xml:space="preserve">I.M. DOS REIS -ALUFORCE INDUSTRIA E COMERCIO DE CONDUTORES </t>
  </si>
  <si>
    <t>IMERC-INSTALAÇÕES E MANUTENCOES ELETRICAS E REDE DE COMPUTA</t>
  </si>
  <si>
    <t>LIQUIDAÇÃO FOMENTO INTERCOMPANY</t>
  </si>
  <si>
    <t xml:space="preserve">ELETRICA HOME &amp; INDUSTRIAL LTDA </t>
  </si>
  <si>
    <t xml:space="preserve">FORT COMERCIO SERVICOS E LOCACOES LTDA </t>
  </si>
  <si>
    <t xml:space="preserve">M G DE OLIVEIRA FILHO COMERCIO LTDA </t>
  </si>
  <si>
    <t>RODRIGO DOS SANTOS ROLA LTDA</t>
  </si>
  <si>
    <t xml:space="preserve">COMISSARIA itau cliente efetuando o pagamento repassar para o fundo </t>
  </si>
  <si>
    <t>ALESSANDRO DA SLVA MORAIS</t>
  </si>
  <si>
    <t>165</t>
  </si>
  <si>
    <t>645</t>
  </si>
  <si>
    <t>653</t>
  </si>
  <si>
    <t>652</t>
  </si>
  <si>
    <t>658</t>
  </si>
  <si>
    <t>188</t>
  </si>
  <si>
    <t>4255</t>
  </si>
  <si>
    <t>4259</t>
  </si>
  <si>
    <t>191</t>
  </si>
  <si>
    <t>4256</t>
  </si>
  <si>
    <t>4258</t>
  </si>
  <si>
    <t>4253</t>
  </si>
  <si>
    <t>4251</t>
  </si>
  <si>
    <t>194</t>
  </si>
  <si>
    <t>4261</t>
  </si>
  <si>
    <t>4262</t>
  </si>
  <si>
    <t>4264</t>
  </si>
  <si>
    <t>4265</t>
  </si>
  <si>
    <t>201</t>
  </si>
  <si>
    <t>666</t>
  </si>
  <si>
    <t>671</t>
  </si>
  <si>
    <t>672</t>
  </si>
  <si>
    <t>207</t>
  </si>
  <si>
    <t>208</t>
  </si>
  <si>
    <t>209</t>
  </si>
  <si>
    <t>210</t>
  </si>
  <si>
    <t>213</t>
  </si>
  <si>
    <t>214</t>
  </si>
  <si>
    <t>4266</t>
  </si>
  <si>
    <t>4267</t>
  </si>
  <si>
    <t>211</t>
  </si>
  <si>
    <t>212</t>
  </si>
  <si>
    <t>003/003</t>
  </si>
  <si>
    <t>002/003</t>
  </si>
  <si>
    <t>001/003</t>
  </si>
  <si>
    <t>006/006</t>
  </si>
  <si>
    <t>005/005</t>
  </si>
  <si>
    <t>001/001</t>
  </si>
  <si>
    <t>004/005</t>
  </si>
  <si>
    <t>005/006</t>
  </si>
  <si>
    <t>004/006</t>
  </si>
  <si>
    <t>004/004</t>
  </si>
  <si>
    <t>003/005</t>
  </si>
  <si>
    <t>003/004</t>
  </si>
  <si>
    <t>002/004</t>
  </si>
  <si>
    <t>BANCO</t>
  </si>
  <si>
    <t>R.N.A METAIS E DISTRIBUIDORA LTDA</t>
  </si>
  <si>
    <t>BELA CAAPORA EMPREENDIMENTOS IMOBILIARIOS SPE LTDA</t>
  </si>
  <si>
    <t>PONTO CERTO MATERIAIS ELETRIVOS E HIDRAULICOS LTDA</t>
  </si>
  <si>
    <t>GLACAI INDUSTRIA DE SORVETES LTDA</t>
  </si>
  <si>
    <t>J G COMERCIO DE MATERIAL ELETRICO LTDA</t>
  </si>
  <si>
    <t>ANGELA A J BUSATTO &amp; CIA LTDA</t>
  </si>
  <si>
    <t>TOZZI MATERIAIS ELETRICOS LTDA</t>
  </si>
  <si>
    <t>D F TOFFOLI MATERIAL ELETRICO LTDA</t>
  </si>
  <si>
    <t>SUPER FIO LTDA</t>
  </si>
  <si>
    <t>ELETROFLAVIO COMERCIAL ELETRICA LTDA</t>
  </si>
  <si>
    <t>ELIAS HUNGRIA DA CRUZ DE WENCESLAU GUIMARAES</t>
  </si>
  <si>
    <t>CENTER LED MATERIAIS ELETRICOS LTDA</t>
  </si>
  <si>
    <t>ELETRICA CASA FERREIRA LTDA</t>
  </si>
  <si>
    <t>UNELTA UNIAO ELETRIFICADORA LTDA</t>
  </si>
  <si>
    <t>IGREJA ANGLICANA ESPERANCA</t>
  </si>
  <si>
    <t>EDL INSTALACOES E CONSTRUCOES LTDA</t>
  </si>
  <si>
    <t>J. DE ALMEIDA ALENCAR COMERCIO DE MATERIAIS ELETRICOS LTDA</t>
  </si>
  <si>
    <t xml:space="preserve">PARA PAGAR DIVIDA PASSADA </t>
  </si>
  <si>
    <t>STOPAR HOLDING LTDA</t>
  </si>
  <si>
    <t xml:space="preserve">NÃO ATENDEU LIGAÇÃO </t>
  </si>
  <si>
    <t xml:space="preserve">EM CONTATO  NO WHATS FICOU DE VERIFICAR COM O FINANCEIRO </t>
  </si>
  <si>
    <t xml:space="preserve">CLIENTE VAI EFETUAR PAGAMENTO HOJE </t>
  </si>
  <si>
    <t xml:space="preserve">ANTECIPOU PAGAMENTO </t>
  </si>
  <si>
    <t>Recomprar nota recusada 4283  trocada por nota 325</t>
  </si>
  <si>
    <t>LUMINOP DISTRIBUIDOR</t>
  </si>
  <si>
    <t xml:space="preserve">ELETRO SAO JOAO LTDA </t>
  </si>
  <si>
    <t>PRORROGADO VENCIMENTOS ORIGINAL 09/02</t>
  </si>
  <si>
    <t>PRORROGADO VENCIMENTOS ORIGINAL 16/02</t>
  </si>
  <si>
    <t>24.616.915/0001-94</t>
  </si>
  <si>
    <t>GERAR BOLETO PARA PAGAMENTO VAI PAGAR 19/02 EM CONTATO COM RODRIGO</t>
  </si>
  <si>
    <t>NU</t>
  </si>
  <si>
    <t xml:space="preserve">prorrogada </t>
  </si>
  <si>
    <t>20.590.831/0001-78</t>
  </si>
  <si>
    <t>06.269.699/0001-76</t>
  </si>
  <si>
    <t>10.821.336/0001-79</t>
  </si>
  <si>
    <t>30.062.482/0061-06</t>
  </si>
  <si>
    <t>14.638.183/0001-80</t>
  </si>
  <si>
    <t>09.356.946/0001-60</t>
  </si>
  <si>
    <t>40.202.099/0001-29</t>
  </si>
  <si>
    <t xml:space="preserve">boletos enviados </t>
  </si>
  <si>
    <t xml:space="preserve">PRORROGAR </t>
  </si>
  <si>
    <t>316 Nota substituida fazer boleto  e assim que cliente pagar repassar ao fundo</t>
  </si>
  <si>
    <t>J G COMERCIAL DE MATERIAL ELETRICO LTDA</t>
  </si>
  <si>
    <t xml:space="preserve">Atende e desliga quando informo do que se trata </t>
  </si>
  <si>
    <t xml:space="preserve">Encaminhado via whast boletos atualizados </t>
  </si>
  <si>
    <t xml:space="preserve">COMISSARIA em contato com Raquel solicitou valor para  pagamento 23/02 encaminahdo por e-mail valor atualizado para pagamento </t>
  </si>
  <si>
    <t xml:space="preserve">TOP LUZ MATERIAIS ELETRICOS LTDA </t>
  </si>
  <si>
    <t xml:space="preserve">Informou pagamento para hoje </t>
  </si>
  <si>
    <t xml:space="preserve">LUCENA COMERCIO E INSTALAÇÕES LTDA </t>
  </si>
  <si>
    <t>Encaminhado via whast boletos atualizados confirma pagamento</t>
  </si>
  <si>
    <t xml:space="preserve">Encaminhado via whast boletos atualizados confirma pagamento </t>
  </si>
  <si>
    <t xml:space="preserve">FORTE COMERCIO DE MATERIAIS ELETRICOS LTDA </t>
  </si>
  <si>
    <t xml:space="preserve">ENERGLUZ MATERIAIS ELETRICOS LTDA </t>
  </si>
  <si>
    <t xml:space="preserve">ELETRICA PRESTES COMERCIO DE MATERIAL ELETRICOS LTDA </t>
  </si>
  <si>
    <t xml:space="preserve">MULTI TUDO HOME CENTER LTDA </t>
  </si>
  <si>
    <t xml:space="preserve">CENTER LIDER MATERIAIS ELETRICOS LTDA </t>
  </si>
  <si>
    <t xml:space="preserve">ELETROFAS MATERIAIS ELETRICOS E DE CONSTRUCAO LTDA </t>
  </si>
  <si>
    <t>ELETROIZAAC COMERCIO DE MATERIAL ELETRICO HIDRAULICO E FERR</t>
  </si>
  <si>
    <t>NOTA ESTA SUBSTITUINDO NOTA 331</t>
  </si>
  <si>
    <t>NOTA DEVOLVIDA SUBSTITUIDA PELA NOTA 409</t>
  </si>
  <si>
    <t xml:space="preserve">Esta em cartório </t>
  </si>
  <si>
    <t xml:space="preserve">Enviado para lilian boleto para pagamento atualizado </t>
  </si>
  <si>
    <t xml:space="preserve">Enviado boletos atualizado via whats </t>
  </si>
  <si>
    <t xml:space="preserve">Enviado boleto atualizado para pagamento via whats </t>
  </si>
  <si>
    <t xml:space="preserve">BANCO NUBANK cliente com boleto para pagamento </t>
  </si>
  <si>
    <t xml:space="preserve">Liquidação em cartório </t>
  </si>
  <si>
    <t>CANCELADA</t>
  </si>
  <si>
    <t xml:space="preserve">Enviado boleto para pagamento 23/02 com 1 dia para cartório boleto Itau nosso </t>
  </si>
  <si>
    <t xml:space="preserve">Encaminhado  boleto atualizado para Lilian </t>
  </si>
  <si>
    <t xml:space="preserve">316 DEVOLUÇÃO INTERNA  NOTA QUE SUBSTITUI 362 MOTIVO POR CONTA DE IMPOSTO INDEVIDO NA NOTA ANTERIOR </t>
  </si>
  <si>
    <t xml:space="preserve">Pago em cartório </t>
  </si>
  <si>
    <t xml:space="preserve">BOLETO ENCAMINHADO ITAU </t>
  </si>
  <si>
    <t>FOMENTO CAPITAL</t>
  </si>
  <si>
    <t>28.164.842/0001-06</t>
  </si>
  <si>
    <t>57.231.501/0001-04</t>
  </si>
  <si>
    <t>26.474.579/0001-18</t>
  </si>
  <si>
    <t>33.167.223/0001-05</t>
  </si>
  <si>
    <t>44.947.745/0001-38</t>
  </si>
  <si>
    <t>34.883.396/0001-84</t>
  </si>
  <si>
    <t xml:space="preserve">DEVOLVIDA </t>
  </si>
  <si>
    <t>Boleto encaminhado para pagamento na data de hoje 26/02</t>
  </si>
  <si>
    <t>Em contato com Cristiane informei que titulo já foi para  cartorio a mesma informou que pagamento esta programado para  o dia 03/03</t>
  </si>
  <si>
    <t>Enviado boleto para pagamento com instrução de cartório para pagamento 27/02</t>
  </si>
  <si>
    <t>MIKE S. DE OLIVEIRA</t>
  </si>
  <si>
    <t xml:space="preserve">Encaminhado boleto via whats </t>
  </si>
  <si>
    <t xml:space="preserve">Boletos enviados </t>
  </si>
  <si>
    <t>Em contato com finaceiro previsão para pagamento até 03/03</t>
  </si>
  <si>
    <t xml:space="preserve">MEDIA TENSAO ELETRICA LTDA </t>
  </si>
  <si>
    <t xml:space="preserve">FOMENTO H8 liquidação de fomento </t>
  </si>
  <si>
    <t>LIQUIDAÇÃO FOMENTO H8</t>
  </si>
  <si>
    <t xml:space="preserve">CABEDAL MATERIAIS ELETRICOS LTDA </t>
  </si>
  <si>
    <t xml:space="preserve">UNIAO ENGENHARIA E CONSTRUCOES LTDA </t>
  </si>
  <si>
    <t>LUZ &amp; CIA LTDA</t>
  </si>
  <si>
    <t xml:space="preserve">FOMENTO </t>
  </si>
  <si>
    <t xml:space="preserve">M LUZ MATERIAIS ELETRICOS LTDA </t>
  </si>
  <si>
    <t xml:space="preserve">CCP DOS ANJOS COMERCIO E SERVICOS LTDA </t>
  </si>
  <si>
    <t xml:space="preserve">FENIX SOLUCOES ENERGETICAS LTDA </t>
  </si>
  <si>
    <t xml:space="preserve">UNIVERSAL FERRAMENTAS LTDA </t>
  </si>
  <si>
    <t xml:space="preserve">ATALAIA DISTRIBUIDORA DE MATERIAIS ELETRICOS LTDA </t>
  </si>
  <si>
    <t>MD FIOS E CABOS LTDA</t>
  </si>
  <si>
    <t xml:space="preserve">VISUAL SINALIZACAO VIARIA E CONSTRUCOES LTDA </t>
  </si>
  <si>
    <t xml:space="preserve">ANGSTROM SERVICOS LTDA </t>
  </si>
  <si>
    <t>Boleto enviado via whast</t>
  </si>
  <si>
    <t xml:space="preserve">BANCO NUBANK boleto enviado novamente </t>
  </si>
  <si>
    <t xml:space="preserve">Enviado  boleto via whats </t>
  </si>
  <si>
    <t>ELETRO MAGNETICA LTDA</t>
  </si>
  <si>
    <t xml:space="preserve">ENNE SOLUCOES ELETRICAS LTDA </t>
  </si>
  <si>
    <t>316 Nota substituida fazer boleto  e assim que cliente pagar repassar ao fundo enviados boletos no e-mail prorrogada para o dia 06/03</t>
  </si>
  <si>
    <t xml:space="preserve">antecipou pagamento </t>
  </si>
  <si>
    <t>Esta em cartório passado para o cliente via whats pago no cartório dia 02/03</t>
  </si>
  <si>
    <t xml:space="preserve">enviado boleto via whats </t>
  </si>
  <si>
    <t>Em contato com lilian do financeiro informa que pagara hoje encaminhado boleto para pagamento hoje 04/03</t>
  </si>
  <si>
    <t xml:space="preserve">boletos enviado via whats </t>
  </si>
  <si>
    <t>Enviado boletos whatspara sidnei  e e-mail paar apagamento na data de hoje 04/03</t>
  </si>
  <si>
    <t>INTERCOMPANY</t>
  </si>
  <si>
    <t xml:space="preserve">Boletos encaminhado no whats </t>
  </si>
  <si>
    <t xml:space="preserve">OLIVEIRA E SOUSA COMERCIO DE MATERIAIS </t>
  </si>
  <si>
    <t xml:space="preserve">EDILSON DA SILVA CAPELA DO ALTO </t>
  </si>
  <si>
    <t>CLIENTE FEZ UM DEPOSITO NA CONTA NEY LABOR (ANDREIA )VALOR 4K E O RESTANTE NA POWER (ENERGY)7.831,00</t>
  </si>
  <si>
    <t xml:space="preserve">canhoto enviado ao fundo </t>
  </si>
  <si>
    <t xml:space="preserve">RECOMPRAR TITULO DOS FUNDOS </t>
  </si>
  <si>
    <t xml:space="preserve">Em contato com senhor Elias o mesmo informa que esta aguardando o valor atualizado pelo cartório para efetuar o pagamento </t>
  </si>
  <si>
    <t>Gessica informa que recebeu carta do cartório e fara o pagamento até o dia 06/03</t>
  </si>
  <si>
    <t xml:space="preserve">HS ENGENHARIA ELETRIC LTDA </t>
  </si>
  <si>
    <t>BOLETO NUBANK</t>
  </si>
  <si>
    <t xml:space="preserve">cliente informa que efetuou o pagamento no cartório porem consta como vencido no relatório </t>
  </si>
  <si>
    <t xml:space="preserve">juridico </t>
  </si>
  <si>
    <t xml:space="preserve">FACHINELLO COMERCIO VAREJISTA DE MATERIAIS ELETRICOS LTDA </t>
  </si>
  <si>
    <t xml:space="preserve">SOUZA VASCONCELOS ELETRICA E CONSTRUCOES LTDA </t>
  </si>
  <si>
    <t xml:space="preserve">Aguardando responsavel do finaceiro enviar comprovante </t>
  </si>
  <si>
    <t>Informa que pagara até 09/03</t>
  </si>
  <si>
    <t>Cliente com boleto efetuara pagamento até 09/03</t>
  </si>
  <si>
    <t xml:space="preserve">boletos enviados paar arthur </t>
  </si>
  <si>
    <t>Informa que vai efetuar pagamento até 10/03</t>
  </si>
  <si>
    <t xml:space="preserve">SETTA FIOS E CABOS LTDA </t>
  </si>
  <si>
    <t xml:space="preserve">MONTANA -COMERCIO DE MATERIAIS ELETRICOS LTDA </t>
  </si>
  <si>
    <t xml:space="preserve">ELETRICA FORTE MANUTENCAO ESPECIALIZADA LTDA </t>
  </si>
  <si>
    <t xml:space="preserve">VSM COMERCIAL ELETRICA LTDA </t>
  </si>
  <si>
    <t xml:space="preserve">LAYOUT REFORMAS LTDA </t>
  </si>
  <si>
    <t xml:space="preserve">FOMENTO não saiu mercadoria para o cliente teremos que prorrogar </t>
  </si>
  <si>
    <t xml:space="preserve">recomprada </t>
  </si>
  <si>
    <t xml:space="preserve">boletos encaminhado por e-mail e whats solicitou prorrogação para o fundos </t>
  </si>
  <si>
    <t xml:space="preserve">boletos envaidos </t>
  </si>
  <si>
    <t>informa que vai efetuar o pagamento até 11/03</t>
  </si>
  <si>
    <t>Efetuara o pagamento até  a data de 12/03</t>
  </si>
  <si>
    <t xml:space="preserve">pagou em cartório e enviou  o comprovante </t>
  </si>
  <si>
    <t xml:space="preserve">prorrogado pelo cliente com fundos </t>
  </si>
  <si>
    <t xml:space="preserve">prorrogada pelo cliente nos fundos </t>
  </si>
  <si>
    <t xml:space="preserve">Encaminhado boleto para pagamento </t>
  </si>
  <si>
    <t xml:space="preserve">COMISSARIA REPASSAR PARA FAMA </t>
  </si>
  <si>
    <t xml:space="preserve">boletos encaminhado para paloma do financeiro </t>
  </si>
  <si>
    <t xml:space="preserve">Pago no cartório temos que solicitar que devolver as custas para  o cliente </t>
  </si>
  <si>
    <t>boletos itau</t>
  </si>
  <si>
    <t>Em contato com Rosangela confirma pagamento na data de hoje 11/03</t>
  </si>
  <si>
    <t xml:space="preserve">Em contato com Suellen do financeiro boleto atualizado  encaminhado para pagamento na data de hoje 11/03 </t>
  </si>
  <si>
    <t xml:space="preserve">Esta em cartório cliente esta aguardando ndo recurso para  pagamento </t>
  </si>
  <si>
    <t xml:space="preserve">Em contato com senhor Joaquim esta sem previsão de pagamento </t>
  </si>
  <si>
    <t>Recomprar não FUNDO Vale  nota recusada 4283  trocada por nota 325</t>
  </si>
  <si>
    <t>cancelada</t>
  </si>
  <si>
    <t xml:space="preserve">C . F. ELETRICA LTDA </t>
  </si>
  <si>
    <t xml:space="preserve">PAGO POR PIX COMPROVANTE ENVIADO </t>
  </si>
  <si>
    <t xml:space="preserve">ENERGY COMERCIO E SERVICOS DE MATERIAIS ELETRICOS </t>
  </si>
  <si>
    <t xml:space="preserve">FABIANO DARIFE DA SILVEIRA </t>
  </si>
  <si>
    <t>LIQUIDAÇÃO FOMENTO INTERCOMPANY(PRORROGADO)</t>
  </si>
  <si>
    <t xml:space="preserve">Recomprado </t>
  </si>
  <si>
    <t xml:space="preserve">NOTA INTERCOMPANY PARA COMPRA DIVIDA PASSADA </t>
  </si>
  <si>
    <t xml:space="preserve">nota parcial da 352 boletos enviados no e-mail </t>
  </si>
  <si>
    <t>restante do parcial da nota 352</t>
  </si>
  <si>
    <t>0003Z475</t>
  </si>
  <si>
    <t>PIRES DO RIO CIBRACO COMERCIO E INDUSTRIA DE FERRO E ACO LTDA</t>
  </si>
  <si>
    <t xml:space="preserve">Esta em cartório Dara esta vendo com diretoria previsão para pagamento no cartório  empresa sem caixa no momento </t>
  </si>
  <si>
    <t xml:space="preserve">Em contato com Dara sem previsão para pagamento informa que empresa esta sem caixa no momento </t>
  </si>
  <si>
    <t>Em contato com Cicero  o mesmo esta providenciando o pagamento previsão até dia 16/03</t>
  </si>
  <si>
    <t>Em contato com Cicero  o mesmo esta providenciando o pagamento até hoje 16/03</t>
  </si>
  <si>
    <t>Em contato com Larissa do financeiro pagamento será feito hoje  13/03</t>
  </si>
  <si>
    <t>Em contato com o financeiro só conseguira  efetuar pagamento na 16/03</t>
  </si>
  <si>
    <t>AGUARDANDO PAGAMENTO QUE SERA FEITO NA SEGUNDA 16/03</t>
  </si>
  <si>
    <t>AGUARDANDO PAGAMENTO QUE SERA FEITO SEGUNDA 16/03</t>
  </si>
  <si>
    <t xml:space="preserve">DMZ COMERCIO E SERVICOS LTDA </t>
  </si>
  <si>
    <t xml:space="preserve">Esta em cartório falei com Renata do financeiro a mesma informa que não possue previsão da diretoria paar o pagamento ser efetuado </t>
  </si>
  <si>
    <t>SIM</t>
  </si>
  <si>
    <t>COMISSÁRIA</t>
  </si>
  <si>
    <t>Em contato com Lucas do financeiro pagamento será feito até amanhã 17/03</t>
  </si>
  <si>
    <t>Em contato com Suelen informa que pagamento será feito até 17/03</t>
  </si>
  <si>
    <t>Douglas responsavel financeiro vai efetuar pagamento via pix na data de hoje 16/03 na conta nubank</t>
  </si>
  <si>
    <t xml:space="preserve">Em contato com Elenildo o mesmo informa que vai fazer pagamneto no cartório mais não tem uma data prevista pois esta sem caixa no momento </t>
  </si>
  <si>
    <t xml:space="preserve">Em contato com Elenildo o mesmo informa que vai fazer pagamento no cartório mais não tem uma data prevista pois esta sem caixa no momento </t>
  </si>
  <si>
    <t xml:space="preserve">Vecimento foi sabado 14/03  aguardar até amanhã caso não pague cobrar </t>
  </si>
  <si>
    <t>Titulo venceu no sabádo 14/03 cobrar caso pagamento não seje feito hoje 16/03</t>
  </si>
  <si>
    <t>Titulo venceu no domingo 15/03 cobrar caso pagamento não seje feito hoje 16/03</t>
  </si>
  <si>
    <t>Titulo venceu no domingo 15/03  cobrar caso pagamento não seje feito hoje 16/03</t>
  </si>
  <si>
    <t>Em contato com Marconi informa que previsão de pagamento somente após dia 17/03 o mesmo foi informado que há possibilidade do titulo ir para cartório</t>
  </si>
  <si>
    <t xml:space="preserve">Em contato com Dara do financeiro a mesma informa que previsão de pagamento até 16/03 caso não efetue o pagamento hoje Helen ira enviar um boleto com instrução de cartorio </t>
  </si>
  <si>
    <t xml:space="preserve">SIM </t>
  </si>
  <si>
    <t xml:space="preserve">SIM  </t>
  </si>
  <si>
    <t xml:space="preserve"> INTERCOMPANY</t>
  </si>
  <si>
    <t xml:space="preserve">FOMENTO BOLETOS ENVIADOS </t>
  </si>
  <si>
    <t xml:space="preserve">Não </t>
  </si>
  <si>
    <t>ACEITA TROCA  FACTORY</t>
  </si>
  <si>
    <t xml:space="preserve">emilio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</si>
</sst>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000\-00"/>
    <numFmt numFmtId="165" formatCode="_(* #,##0.00_);_(* \(#,##0.00\);_(* &quot;-&quot;??_);_(@_)"/>
    <numFmt numFmtId="166" formatCode="dd/mm/yyyy\ \-\ ddd"/>
    <numFmt numFmtId="167" formatCode="0.000"/>
    <numFmt numFmtId="168" formatCode="_(* #,##0_);_(* \(#,##0\);_(* &quot;-&quot;_);_(@_)"/>
    <numFmt numFmtId="169" formatCode="_-* #,##0.000_-;\-* #,##0.000_-;_-* &quot;-&quot;??_-;_-@_-"/>
    <numFmt numFmtId="170" formatCode="0_);[Red]\(0\)"/>
    <numFmt numFmtId="171" formatCode="_-* #,##0_-;\-* #,##0_-;_-* &quot;-&quot;??_-;_-@_-"/>
  </numFmts>
  <fonts count="6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i/>
      <sz val="10"/>
      <color rgb="FF0A0A0A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 "/>
    </font>
    <font>
      <sz val="10"/>
      <color theme="1"/>
      <name val="Aptos  "/>
    </font>
    <font>
      <b/>
      <sz val="10"/>
      <color theme="0"/>
      <name val="Aptos  "/>
    </font>
    <font>
      <sz val="10"/>
      <color theme="0" tint="-0.249977111117893"/>
      <name val="Aptos  "/>
    </font>
    <font>
      <b/>
      <sz val="10"/>
      <color theme="1"/>
      <name val="Aptos  "/>
    </font>
    <font>
      <i/>
      <sz val="10"/>
      <color theme="1"/>
      <name val="Aptos  "/>
    </font>
    <font>
      <sz val="10"/>
      <color theme="0"/>
      <name val="Aptos  "/>
    </font>
    <font>
      <b/>
      <sz val="11"/>
      <name val="Aptos Narrow"/>
      <family val="2"/>
      <scheme val="minor"/>
    </font>
    <font>
      <sz val="14"/>
      <color theme="1"/>
      <name val="Aptos  "/>
    </font>
    <font>
      <b/>
      <i/>
      <sz val="14"/>
      <color theme="1"/>
      <name val="Aptos  "/>
    </font>
    <font>
      <b/>
      <i/>
      <sz val="10"/>
      <name val="Aptos  "/>
    </font>
    <font>
      <b/>
      <i/>
      <sz val="14"/>
      <name val="Aptos  "/>
    </font>
    <font>
      <b/>
      <i/>
      <u/>
      <sz val="20"/>
      <color rgb="FF002060"/>
      <name val="Aptos Narrow"/>
      <family val="2"/>
      <scheme val="minor"/>
    </font>
    <font>
      <b/>
      <sz val="12"/>
      <color theme="1"/>
      <name val="Aptos  "/>
    </font>
    <font>
      <sz val="12"/>
      <color theme="1"/>
      <name val="Aptos  "/>
    </font>
    <font>
      <b/>
      <sz val="12"/>
      <color theme="0"/>
      <name val="Aptos  "/>
    </font>
    <font>
      <sz val="12"/>
      <color theme="0"/>
      <name val="Aptos  "/>
    </font>
    <font>
      <b/>
      <i/>
      <sz val="12"/>
      <color theme="1"/>
      <name val="Aptos  "/>
    </font>
    <font>
      <i/>
      <sz val="12"/>
      <color theme="1"/>
      <name val="Aptos  "/>
    </font>
    <font>
      <sz val="10"/>
      <name val="Arial"/>
      <family val="2"/>
    </font>
    <font>
      <b/>
      <sz val="20"/>
      <color theme="0"/>
      <name val="Aptos Narrow"/>
      <family val="2"/>
      <scheme val="minor"/>
    </font>
    <font>
      <sz val="20"/>
      <name val="Aptos Narrow"/>
      <family val="2"/>
      <scheme val="minor"/>
    </font>
    <font>
      <b/>
      <sz val="14"/>
      <name val="Aptos Narrow"/>
      <family val="2"/>
      <scheme val="minor"/>
    </font>
    <font>
      <sz val="12"/>
      <name val="Aptos Narrow"/>
      <family val="2"/>
      <scheme val="minor"/>
    </font>
    <font>
      <sz val="12"/>
      <color indexed="1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2060"/>
        <bgColor theme="4"/>
      </patternFill>
    </fill>
    <fill>
      <patternFill patternType="solid">
        <fgColor rgb="FFC00000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 style="hair">
        <color theme="4" tint="0.39994506668294322"/>
      </left>
      <right style="hair">
        <color theme="4" tint="0.39994506668294322"/>
      </right>
      <top style="hair">
        <color theme="4" tint="0.39994506668294322"/>
      </top>
      <bottom style="hair">
        <color theme="4" tint="0.39994506668294322"/>
      </bottom>
      <diagonal/>
    </border>
    <border>
      <left style="hair">
        <color theme="4" tint="0.39994506668294322"/>
      </left>
      <right style="hair">
        <color theme="4" tint="0.39994506668294322"/>
      </right>
      <top/>
      <bottom style="hair">
        <color theme="4" tint="0.39994506668294322"/>
      </bottom>
      <diagonal/>
    </border>
    <border>
      <left style="hair">
        <color theme="4" tint="0.39994506668294322"/>
      </left>
      <right style="hair">
        <color theme="4" tint="0.39994506668294322"/>
      </right>
      <top style="hair">
        <color theme="4" tint="0.39994506668294322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theme="4" tint="0.39994506668294322"/>
      </left>
      <right style="hair">
        <color theme="4" tint="0.39994506668294322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4" tint="0.39994506668294322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theme="4" tint="0.39994506668294322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theme="4" tint="0.39994506668294322"/>
      </right>
      <top style="hair">
        <color theme="4" tint="0.39994506668294322"/>
      </top>
      <bottom/>
      <diagonal/>
    </border>
    <border>
      <left/>
      <right style="hair">
        <color theme="4" tint="0.39994506668294322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165" fontId="1" fillId="0" borderId="0" applyFont="0" applyFill="0" applyBorder="0" applyAlignment="0" applyProtection="0"/>
    <xf numFmtId="165" fontId="31" fillId="0" borderId="0" applyFont="0" applyFill="0" applyBorder="0" applyAlignment="0" applyProtection="0"/>
  </cellStyleXfs>
  <cellXfs count="356">
    <xf numFmtId="0" fontId="0" fillId="0" borderId="0" xfId="0"/>
    <xf numFmtId="14" fontId="0" fillId="0" borderId="0" xfId="0" applyNumberFormat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1" xfId="0" applyFont="1" applyBorder="1"/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5" xfId="1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4" xfId="0" applyFont="1" applyBorder="1"/>
    <xf numFmtId="49" fontId="3" fillId="0" borderId="5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3" xfId="0" applyFont="1" applyBorder="1"/>
    <xf numFmtId="0" fontId="5" fillId="0" borderId="0" xfId="0" applyFont="1" applyAlignment="1">
      <alignment horizontal="center" vertical="center"/>
    </xf>
    <xf numFmtId="43" fontId="5" fillId="0" borderId="0" xfId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14" fontId="7" fillId="4" borderId="9" xfId="0" applyNumberFormat="1" applyFont="1" applyFill="1" applyBorder="1" applyAlignment="1">
      <alignment horizontal="center" vertical="center"/>
    </xf>
    <xf numFmtId="43" fontId="6" fillId="0" borderId="8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right" vertical="center"/>
    </xf>
    <xf numFmtId="43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4" fontId="2" fillId="2" borderId="37" xfId="0" applyNumberFormat="1" applyFont="1" applyFill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3" fontId="2" fillId="2" borderId="0" xfId="1" applyFont="1" applyFill="1" applyBorder="1" applyAlignment="1">
      <alignment horizontal="center" vertical="center"/>
    </xf>
    <xf numFmtId="14" fontId="2" fillId="2" borderId="0" xfId="2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14" fontId="3" fillId="0" borderId="7" xfId="1" applyNumberFormat="1" applyFont="1" applyBorder="1" applyAlignment="1">
      <alignment horizontal="center" vertical="center"/>
    </xf>
    <xf numFmtId="43" fontId="2" fillId="4" borderId="0" xfId="1" applyFont="1" applyFill="1" applyAlignment="1">
      <alignment horizontal="center" vertical="center"/>
    </xf>
    <xf numFmtId="43" fontId="11" fillId="0" borderId="5" xfId="1" applyFont="1" applyBorder="1" applyAlignment="1">
      <alignment horizontal="center" vertical="center"/>
    </xf>
    <xf numFmtId="43" fontId="11" fillId="0" borderId="7" xfId="1" applyFont="1" applyBorder="1" applyAlignment="1">
      <alignment horizontal="center" vertical="center"/>
    </xf>
    <xf numFmtId="43" fontId="10" fillId="0" borderId="0" xfId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43" fontId="14" fillId="4" borderId="0" xfId="0" applyNumberFormat="1" applyFont="1" applyFill="1" applyAlignment="1">
      <alignment vertical="center"/>
    </xf>
    <xf numFmtId="0" fontId="14" fillId="4" borderId="18" xfId="0" applyFont="1" applyFill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3" fillId="10" borderId="28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43" fontId="15" fillId="5" borderId="0" xfId="0" applyNumberFormat="1" applyFont="1" applyFill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43" fontId="13" fillId="0" borderId="12" xfId="1" applyFont="1" applyBorder="1" applyAlignment="1">
      <alignment horizontal="center" vertical="center"/>
    </xf>
    <xf numFmtId="43" fontId="13" fillId="0" borderId="30" xfId="1" applyFont="1" applyBorder="1" applyAlignment="1">
      <alignment horizontal="center" vertical="center"/>
    </xf>
    <xf numFmtId="43" fontId="16" fillId="0" borderId="33" xfId="0" applyNumberFormat="1" applyFont="1" applyBorder="1" applyAlignment="1">
      <alignment horizontal="center" vertical="center"/>
    </xf>
    <xf numFmtId="43" fontId="17" fillId="0" borderId="12" xfId="1" applyFont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43" fontId="13" fillId="6" borderId="8" xfId="1" applyFont="1" applyFill="1" applyBorder="1" applyAlignment="1">
      <alignment horizontal="center" vertical="center"/>
    </xf>
    <xf numFmtId="43" fontId="13" fillId="6" borderId="31" xfId="1" applyFont="1" applyFill="1" applyBorder="1" applyAlignment="1">
      <alignment horizontal="center" vertical="center"/>
    </xf>
    <xf numFmtId="43" fontId="16" fillId="6" borderId="34" xfId="1" applyFont="1" applyFill="1" applyBorder="1" applyAlignment="1">
      <alignment horizontal="center" vertical="center"/>
    </xf>
    <xf numFmtId="43" fontId="17" fillId="6" borderId="8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3" fontId="13" fillId="0" borderId="8" xfId="1" applyFont="1" applyBorder="1" applyAlignment="1">
      <alignment horizontal="center" vertical="center"/>
    </xf>
    <xf numFmtId="43" fontId="13" fillId="0" borderId="31" xfId="1" applyFont="1" applyBorder="1" applyAlignment="1">
      <alignment horizontal="center" vertical="center"/>
    </xf>
    <xf numFmtId="43" fontId="16" fillId="0" borderId="34" xfId="1" applyFont="1" applyFill="1" applyBorder="1" applyAlignment="1">
      <alignment horizontal="center" vertical="center"/>
    </xf>
    <xf numFmtId="43" fontId="17" fillId="0" borderId="8" xfId="1" applyFont="1" applyBorder="1" applyAlignment="1">
      <alignment horizontal="center" vertical="center"/>
    </xf>
    <xf numFmtId="43" fontId="16" fillId="0" borderId="15" xfId="1" applyFont="1" applyFill="1" applyBorder="1" applyAlignment="1">
      <alignment horizontal="center" vertical="center"/>
    </xf>
    <xf numFmtId="43" fontId="16" fillId="0" borderId="16" xfId="1" applyFont="1" applyBorder="1" applyAlignment="1">
      <alignment horizontal="center" vertical="center"/>
    </xf>
    <xf numFmtId="43" fontId="16" fillId="0" borderId="17" xfId="1" applyFont="1" applyBorder="1" applyAlignment="1">
      <alignment horizontal="center" vertical="center"/>
    </xf>
    <xf numFmtId="43" fontId="16" fillId="6" borderId="21" xfId="1" applyFont="1" applyFill="1" applyBorder="1" applyAlignment="1">
      <alignment horizontal="center" vertical="center"/>
    </xf>
    <xf numFmtId="43" fontId="13" fillId="6" borderId="14" xfId="1" applyFont="1" applyFill="1" applyBorder="1" applyAlignment="1">
      <alignment horizontal="center" vertical="center"/>
    </xf>
    <xf numFmtId="43" fontId="16" fillId="6" borderId="22" xfId="1" applyFont="1" applyFill="1" applyBorder="1" applyAlignment="1">
      <alignment horizontal="center" vertical="center"/>
    </xf>
    <xf numFmtId="43" fontId="16" fillId="0" borderId="23" xfId="1" applyFont="1" applyFill="1" applyBorder="1" applyAlignment="1">
      <alignment horizontal="center" vertical="center"/>
    </xf>
    <xf numFmtId="43" fontId="13" fillId="0" borderId="14" xfId="1" applyFont="1" applyFill="1" applyBorder="1" applyAlignment="1">
      <alignment horizontal="center" vertical="center"/>
    </xf>
    <xf numFmtId="43" fontId="13" fillId="0" borderId="8" xfId="1" applyFont="1" applyFill="1" applyBorder="1" applyAlignment="1">
      <alignment horizontal="center" vertical="center"/>
    </xf>
    <xf numFmtId="43" fontId="16" fillId="0" borderId="24" xfId="1" applyFont="1" applyFill="1" applyBorder="1" applyAlignment="1">
      <alignment horizontal="center" vertical="center"/>
    </xf>
    <xf numFmtId="43" fontId="16" fillId="6" borderId="23" xfId="1" applyFont="1" applyFill="1" applyBorder="1" applyAlignment="1">
      <alignment horizontal="center" vertical="center"/>
    </xf>
    <xf numFmtId="43" fontId="16" fillId="6" borderId="24" xfId="1" applyFont="1" applyFill="1" applyBorder="1" applyAlignment="1">
      <alignment horizontal="center" vertical="center"/>
    </xf>
    <xf numFmtId="43" fontId="14" fillId="4" borderId="25" xfId="0" applyNumberFormat="1" applyFont="1" applyFill="1" applyBorder="1" applyAlignment="1">
      <alignment horizontal="center" vertical="center"/>
    </xf>
    <xf numFmtId="43" fontId="18" fillId="4" borderId="10" xfId="0" applyNumberFormat="1" applyFont="1" applyFill="1" applyBorder="1" applyAlignment="1">
      <alignment horizontal="center" vertical="center"/>
    </xf>
    <xf numFmtId="43" fontId="14" fillId="4" borderId="26" xfId="0" applyNumberFormat="1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43" fontId="13" fillId="6" borderId="13" xfId="1" applyFont="1" applyFill="1" applyBorder="1" applyAlignment="1">
      <alignment horizontal="center" vertical="center"/>
    </xf>
    <xf numFmtId="43" fontId="13" fillId="6" borderId="32" xfId="1" applyFont="1" applyFill="1" applyBorder="1" applyAlignment="1">
      <alignment horizontal="center" vertical="center"/>
    </xf>
    <xf numFmtId="43" fontId="16" fillId="6" borderId="35" xfId="1" applyFont="1" applyFill="1" applyBorder="1" applyAlignment="1">
      <alignment horizontal="center" vertical="center"/>
    </xf>
    <xf numFmtId="43" fontId="17" fillId="6" borderId="13" xfId="1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43" fontId="13" fillId="0" borderId="13" xfId="1" applyFont="1" applyBorder="1" applyAlignment="1">
      <alignment horizontal="center" vertical="center"/>
    </xf>
    <xf numFmtId="43" fontId="13" fillId="0" borderId="32" xfId="1" applyFont="1" applyBorder="1" applyAlignment="1">
      <alignment horizontal="center" vertical="center"/>
    </xf>
    <xf numFmtId="43" fontId="16" fillId="0" borderId="35" xfId="1" applyFont="1" applyFill="1" applyBorder="1" applyAlignment="1">
      <alignment horizontal="center" vertical="center"/>
    </xf>
    <xf numFmtId="43" fontId="17" fillId="0" borderId="13" xfId="1" applyFont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43" fontId="14" fillId="4" borderId="10" xfId="0" applyNumberFormat="1" applyFont="1" applyFill="1" applyBorder="1" applyAlignment="1">
      <alignment horizontal="center" vertical="center"/>
    </xf>
    <xf numFmtId="43" fontId="14" fillId="4" borderId="36" xfId="0" applyNumberFormat="1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43" fontId="13" fillId="0" borderId="40" xfId="1" applyFont="1" applyBorder="1" applyAlignment="1">
      <alignment horizontal="center" vertical="center"/>
    </xf>
    <xf numFmtId="43" fontId="13" fillId="0" borderId="41" xfId="1" applyFont="1" applyBorder="1" applyAlignment="1">
      <alignment horizontal="center" vertical="center"/>
    </xf>
    <xf numFmtId="43" fontId="16" fillId="0" borderId="42" xfId="1" applyFont="1" applyFill="1" applyBorder="1" applyAlignment="1">
      <alignment horizontal="center" vertical="center"/>
    </xf>
    <xf numFmtId="43" fontId="17" fillId="0" borderId="42" xfId="1" applyFont="1" applyBorder="1" applyAlignment="1">
      <alignment horizontal="center" vertical="center"/>
    </xf>
    <xf numFmtId="0" fontId="12" fillId="9" borderId="38" xfId="0" applyFont="1" applyFill="1" applyBorder="1" applyAlignment="1">
      <alignment horizontal="center" vertical="center"/>
    </xf>
    <xf numFmtId="43" fontId="13" fillId="9" borderId="12" xfId="1" applyFont="1" applyFill="1" applyBorder="1" applyAlignment="1">
      <alignment horizontal="center" vertical="center"/>
    </xf>
    <xf numFmtId="43" fontId="13" fillId="9" borderId="30" xfId="1" applyFont="1" applyFill="1" applyBorder="1" applyAlignment="1">
      <alignment horizontal="center" vertical="center"/>
    </xf>
    <xf numFmtId="43" fontId="16" fillId="9" borderId="33" xfId="1" applyFont="1" applyFill="1" applyBorder="1" applyAlignment="1">
      <alignment horizontal="center" vertical="center"/>
    </xf>
    <xf numFmtId="0" fontId="13" fillId="9" borderId="0" xfId="0" applyFont="1" applyFill="1"/>
    <xf numFmtId="43" fontId="17" fillId="9" borderId="33" xfId="1" applyFont="1" applyFill="1" applyBorder="1" applyAlignment="1">
      <alignment horizontal="center" vertical="center"/>
    </xf>
    <xf numFmtId="14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4" fillId="4" borderId="47" xfId="0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/>
    </xf>
    <xf numFmtId="0" fontId="13" fillId="10" borderId="49" xfId="0" applyFont="1" applyFill="1" applyBorder="1" applyAlignment="1">
      <alignment horizontal="center" vertical="center"/>
    </xf>
    <xf numFmtId="0" fontId="13" fillId="10" borderId="50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/>
    </xf>
    <xf numFmtId="43" fontId="25" fillId="0" borderId="44" xfId="1" applyFont="1" applyFill="1" applyBorder="1" applyAlignment="1">
      <alignment horizontal="center" vertical="center"/>
    </xf>
    <xf numFmtId="43" fontId="25" fillId="0" borderId="45" xfId="1" applyFont="1" applyBorder="1" applyAlignment="1">
      <alignment horizontal="center" vertical="center"/>
    </xf>
    <xf numFmtId="43" fontId="25" fillId="0" borderId="46" xfId="1" applyFont="1" applyBorder="1" applyAlignment="1">
      <alignment horizontal="center" vertical="center"/>
    </xf>
    <xf numFmtId="43" fontId="25" fillId="0" borderId="23" xfId="1" applyFont="1" applyFill="1" applyBorder="1" applyAlignment="1">
      <alignment horizontal="center" vertical="center"/>
    </xf>
    <xf numFmtId="43" fontId="27" fillId="4" borderId="25" xfId="0" applyNumberFormat="1" applyFont="1" applyFill="1" applyBorder="1" applyAlignment="1">
      <alignment horizontal="center" vertical="center"/>
    </xf>
    <xf numFmtId="43" fontId="28" fillId="4" borderId="10" xfId="0" applyNumberFormat="1" applyFont="1" applyFill="1" applyBorder="1" applyAlignment="1">
      <alignment horizontal="center" vertical="center"/>
    </xf>
    <xf numFmtId="43" fontId="27" fillId="4" borderId="26" xfId="0" applyNumberFormat="1" applyFont="1" applyFill="1" applyBorder="1" applyAlignment="1">
      <alignment horizontal="center" vertical="center"/>
    </xf>
    <xf numFmtId="0" fontId="27" fillId="4" borderId="47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7" fillId="4" borderId="49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6" fillId="9" borderId="0" xfId="0" applyFont="1" applyFill="1"/>
    <xf numFmtId="0" fontId="29" fillId="0" borderId="39" xfId="0" applyFont="1" applyBorder="1" applyAlignment="1">
      <alignment horizontal="center" vertical="center"/>
    </xf>
    <xf numFmtId="43" fontId="26" fillId="0" borderId="40" xfId="1" applyFont="1" applyBorder="1" applyAlignment="1">
      <alignment horizontal="center" vertical="center"/>
    </xf>
    <xf numFmtId="43" fontId="25" fillId="0" borderId="42" xfId="1" applyFont="1" applyFill="1" applyBorder="1" applyAlignment="1">
      <alignment horizontal="center" vertical="center"/>
    </xf>
    <xf numFmtId="43" fontId="30" fillId="0" borderId="42" xfId="1" applyFont="1" applyBorder="1" applyAlignment="1">
      <alignment horizontal="center" vertical="center"/>
    </xf>
    <xf numFmtId="43" fontId="25" fillId="5" borderId="23" xfId="1" applyFont="1" applyFill="1" applyBorder="1" applyAlignment="1">
      <alignment horizontal="center" vertical="center"/>
    </xf>
    <xf numFmtId="43" fontId="26" fillId="5" borderId="14" xfId="1" applyFont="1" applyFill="1" applyBorder="1" applyAlignment="1">
      <alignment horizontal="center" vertical="center"/>
    </xf>
    <xf numFmtId="43" fontId="26" fillId="5" borderId="8" xfId="1" applyFont="1" applyFill="1" applyBorder="1" applyAlignment="1">
      <alignment horizontal="center" vertical="center"/>
    </xf>
    <xf numFmtId="43" fontId="25" fillId="5" borderId="24" xfId="1" applyFont="1" applyFill="1" applyBorder="1" applyAlignment="1">
      <alignment horizontal="center" vertical="center"/>
    </xf>
    <xf numFmtId="0" fontId="29" fillId="5" borderId="38" xfId="0" applyFont="1" applyFill="1" applyBorder="1" applyAlignment="1">
      <alignment horizontal="center" vertical="center"/>
    </xf>
    <xf numFmtId="43" fontId="26" fillId="5" borderId="12" xfId="1" applyFont="1" applyFill="1" applyBorder="1" applyAlignment="1">
      <alignment horizontal="center" vertical="center"/>
    </xf>
    <xf numFmtId="43" fontId="26" fillId="5" borderId="30" xfId="1" applyFont="1" applyFill="1" applyBorder="1" applyAlignment="1">
      <alignment horizontal="center" vertical="center"/>
    </xf>
    <xf numFmtId="43" fontId="25" fillId="5" borderId="33" xfId="1" applyFont="1" applyFill="1" applyBorder="1" applyAlignment="1">
      <alignment horizontal="center" vertical="center"/>
    </xf>
    <xf numFmtId="43" fontId="30" fillId="5" borderId="33" xfId="1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right" vertical="center"/>
    </xf>
    <xf numFmtId="14" fontId="5" fillId="5" borderId="8" xfId="0" applyNumberFormat="1" applyFont="1" applyFill="1" applyBorder="1" applyAlignment="1">
      <alignment horizontal="center" vertical="center"/>
    </xf>
    <xf numFmtId="43" fontId="6" fillId="5" borderId="8" xfId="1" applyFont="1" applyFill="1" applyBorder="1" applyAlignment="1">
      <alignment horizontal="center" vertical="center"/>
    </xf>
    <xf numFmtId="0" fontId="0" fillId="0" borderId="0" xfId="0" pivotButton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36" fillId="0" borderId="0" xfId="4" applyFont="1" applyAlignment="1">
      <alignment horizontal="center" vertical="center"/>
    </xf>
    <xf numFmtId="16" fontId="38" fillId="0" borderId="0" xfId="4" applyNumberFormat="1" applyFont="1" applyAlignment="1">
      <alignment horizontal="center" vertical="center"/>
    </xf>
    <xf numFmtId="0" fontId="38" fillId="0" borderId="0" xfId="4" applyFont="1" applyAlignment="1">
      <alignment horizontal="center" vertical="center"/>
    </xf>
    <xf numFmtId="14" fontId="38" fillId="0" borderId="0" xfId="4" applyNumberFormat="1" applyFont="1" applyAlignment="1">
      <alignment horizontal="center" vertical="center"/>
    </xf>
    <xf numFmtId="0" fontId="7" fillId="4" borderId="0" xfId="4" applyFont="1" applyFill="1" applyAlignment="1">
      <alignment horizontal="center" vertical="center" wrapText="1"/>
    </xf>
    <xf numFmtId="166" fontId="39" fillId="9" borderId="52" xfId="4" applyNumberFormat="1" applyFont="1" applyFill="1" applyBorder="1" applyAlignment="1" applyProtection="1">
      <alignment horizontal="center" vertical="center"/>
      <protection locked="0"/>
    </xf>
    <xf numFmtId="165" fontId="35" fillId="9" borderId="0" xfId="5" applyFont="1" applyFill="1" applyAlignment="1" applyProtection="1">
      <alignment horizontal="center" vertical="center"/>
      <protection locked="0"/>
    </xf>
    <xf numFmtId="170" fontId="35" fillId="9" borderId="0" xfId="4" applyNumberFormat="1" applyFont="1" applyFill="1" applyAlignment="1">
      <alignment horizontal="center" vertical="center"/>
    </xf>
    <xf numFmtId="166" fontId="39" fillId="0" borderId="52" xfId="4" applyNumberFormat="1" applyFont="1" applyBorder="1" applyAlignment="1" applyProtection="1">
      <alignment horizontal="center" vertical="center"/>
      <protection locked="0"/>
    </xf>
    <xf numFmtId="165" fontId="35" fillId="0" borderId="0" xfId="5" applyFont="1" applyFill="1" applyAlignment="1" applyProtection="1">
      <alignment horizontal="center" vertical="center"/>
      <protection locked="0"/>
    </xf>
    <xf numFmtId="170" fontId="35" fillId="0" borderId="0" xfId="4" applyNumberFormat="1" applyFont="1" applyAlignment="1">
      <alignment horizontal="center" vertical="center"/>
    </xf>
    <xf numFmtId="14" fontId="35" fillId="0" borderId="0" xfId="4" applyNumberFormat="1" applyFont="1" applyAlignment="1">
      <alignment horizontal="center" vertical="center"/>
    </xf>
    <xf numFmtId="14" fontId="7" fillId="4" borderId="0" xfId="4" applyNumberFormat="1" applyFont="1" applyFill="1" applyAlignment="1">
      <alignment horizontal="center" vertical="center"/>
    </xf>
    <xf numFmtId="165" fontId="38" fillId="4" borderId="0" xfId="4" applyNumberFormat="1" applyFont="1" applyFill="1" applyAlignment="1">
      <alignment horizontal="center" vertical="center"/>
    </xf>
    <xf numFmtId="168" fontId="38" fillId="4" borderId="0" xfId="4" applyNumberFormat="1" applyFont="1" applyFill="1" applyAlignment="1">
      <alignment horizontal="center" vertical="center"/>
    </xf>
    <xf numFmtId="165" fontId="35" fillId="0" borderId="0" xfId="4" applyNumberFormat="1" applyFont="1" applyAlignment="1">
      <alignment horizontal="center" vertical="center"/>
    </xf>
    <xf numFmtId="14" fontId="7" fillId="4" borderId="0" xfId="4" applyNumberFormat="1" applyFont="1" applyFill="1" applyAlignment="1">
      <alignment horizontal="center" vertical="center" wrapText="1"/>
    </xf>
    <xf numFmtId="0" fontId="33" fillId="0" borderId="0" xfId="4" applyFont="1" applyAlignment="1">
      <alignment horizontal="center" vertical="center"/>
    </xf>
    <xf numFmtId="14" fontId="37" fillId="7" borderId="0" xfId="4" applyNumberFormat="1" applyFont="1" applyFill="1" applyAlignment="1">
      <alignment horizontal="center" vertical="center"/>
    </xf>
    <xf numFmtId="165" fontId="5" fillId="7" borderId="0" xfId="4" applyNumberFormat="1" applyFont="1" applyFill="1" applyAlignment="1">
      <alignment horizontal="center" vertical="center"/>
    </xf>
    <xf numFmtId="0" fontId="35" fillId="0" borderId="0" xfId="4" applyFont="1" applyAlignment="1">
      <alignment horizontal="center" vertical="center"/>
    </xf>
    <xf numFmtId="165" fontId="38" fillId="0" borderId="0" xfId="5" applyFont="1" applyFill="1" applyBorder="1" applyAlignment="1" applyProtection="1">
      <alignment horizontal="center" vertical="center"/>
    </xf>
    <xf numFmtId="39" fontId="38" fillId="0" borderId="0" xfId="0" applyNumberFormat="1" applyFont="1" applyAlignment="1">
      <alignment horizontal="center" vertical="center"/>
    </xf>
    <xf numFmtId="167" fontId="40" fillId="0" borderId="0" xfId="4" applyNumberFormat="1" applyFont="1" applyAlignment="1">
      <alignment horizontal="center" vertical="center"/>
    </xf>
    <xf numFmtId="165" fontId="38" fillId="0" borderId="0" xfId="4" applyNumberFormat="1" applyFont="1" applyAlignment="1">
      <alignment horizontal="center" vertical="center"/>
    </xf>
    <xf numFmtId="0" fontId="7" fillId="4" borderId="51" xfId="4" quotePrefix="1" applyFont="1" applyFill="1" applyBorder="1" applyAlignment="1">
      <alignment horizontal="center" vertical="center"/>
    </xf>
    <xf numFmtId="169" fontId="7" fillId="4" borderId="51" xfId="5" applyNumberFormat="1" applyFont="1" applyFill="1" applyBorder="1" applyAlignment="1" applyProtection="1">
      <alignment horizontal="center" vertical="center"/>
    </xf>
    <xf numFmtId="0" fontId="38" fillId="13" borderId="0" xfId="4" applyFont="1" applyFill="1" applyAlignment="1">
      <alignment horizontal="center" vertical="center"/>
    </xf>
    <xf numFmtId="4" fontId="5" fillId="9" borderId="0" xfId="5" applyNumberFormat="1" applyFont="1" applyFill="1" applyAlignment="1">
      <alignment horizontal="center" vertical="center"/>
    </xf>
    <xf numFmtId="165" fontId="35" fillId="9" borderId="0" xfId="6" applyFont="1" applyFill="1" applyBorder="1" applyAlignment="1" applyProtection="1">
      <alignment horizontal="center" vertical="center"/>
    </xf>
    <xf numFmtId="0" fontId="7" fillId="4" borderId="51" xfId="4" applyFont="1" applyFill="1" applyBorder="1" applyAlignment="1">
      <alignment horizontal="center" vertical="center"/>
    </xf>
    <xf numFmtId="10" fontId="35" fillId="0" borderId="0" xfId="3" applyNumberFormat="1" applyFont="1" applyFill="1" applyAlignment="1" applyProtection="1">
      <alignment horizontal="center" vertical="center"/>
    </xf>
    <xf numFmtId="4" fontId="5" fillId="0" borderId="0" xfId="5" applyNumberFormat="1" applyFont="1" applyAlignment="1">
      <alignment horizontal="center" vertical="center"/>
    </xf>
    <xf numFmtId="165" fontId="35" fillId="0" borderId="0" xfId="6" applyFont="1" applyFill="1" applyBorder="1" applyAlignment="1" applyProtection="1">
      <alignment horizontal="center" vertical="center"/>
    </xf>
    <xf numFmtId="0" fontId="7" fillId="14" borderId="27" xfId="4" applyFont="1" applyFill="1" applyBorder="1" applyAlignment="1">
      <alignment horizontal="center" vertical="center"/>
    </xf>
    <xf numFmtId="10" fontId="35" fillId="0" borderId="0" xfId="3" applyNumberFormat="1" applyFont="1" applyAlignment="1" applyProtection="1">
      <alignment horizontal="center" vertical="center"/>
    </xf>
    <xf numFmtId="10" fontId="42" fillId="11" borderId="51" xfId="3" applyNumberFormat="1" applyFont="1" applyFill="1" applyBorder="1" applyAlignment="1" applyProtection="1">
      <alignment horizontal="center" vertical="center"/>
    </xf>
    <xf numFmtId="165" fontId="42" fillId="11" borderId="51" xfId="5" applyFont="1" applyFill="1" applyBorder="1" applyAlignment="1" applyProtection="1">
      <alignment horizontal="center" vertical="center"/>
    </xf>
    <xf numFmtId="165" fontId="35" fillId="0" borderId="0" xfId="5" applyFont="1" applyAlignment="1" applyProtection="1">
      <alignment horizontal="center" vertical="center"/>
    </xf>
    <xf numFmtId="0" fontId="7" fillId="4" borderId="53" xfId="4" applyFont="1" applyFill="1" applyBorder="1" applyAlignment="1">
      <alignment horizontal="center" vertical="center"/>
    </xf>
    <xf numFmtId="165" fontId="7" fillId="4" borderId="53" xfId="5" applyFont="1" applyFill="1" applyBorder="1" applyAlignment="1" applyProtection="1">
      <alignment horizontal="center" vertical="center"/>
    </xf>
    <xf numFmtId="0" fontId="35" fillId="0" borderId="54" xfId="4" applyFont="1" applyBorder="1" applyAlignment="1">
      <alignment horizontal="center" vertical="center"/>
    </xf>
    <xf numFmtId="165" fontId="41" fillId="0" borderId="55" xfId="5" applyFont="1" applyBorder="1" applyAlignment="1" applyProtection="1">
      <alignment horizontal="center" vertical="center"/>
    </xf>
    <xf numFmtId="0" fontId="7" fillId="17" borderId="51" xfId="4" applyFont="1" applyFill="1" applyBorder="1" applyAlignment="1">
      <alignment horizontal="center" vertical="center"/>
    </xf>
    <xf numFmtId="10" fontId="35" fillId="16" borderId="51" xfId="3" applyNumberFormat="1" applyFont="1" applyFill="1" applyBorder="1" applyAlignment="1" applyProtection="1">
      <alignment horizontal="center" vertical="center"/>
    </xf>
    <xf numFmtId="165" fontId="35" fillId="16" borderId="51" xfId="5" applyFont="1" applyFill="1" applyBorder="1" applyAlignment="1" applyProtection="1">
      <alignment horizontal="center" vertical="center"/>
    </xf>
    <xf numFmtId="165" fontId="7" fillId="4" borderId="51" xfId="5" applyFont="1" applyFill="1" applyBorder="1" applyAlignment="1" applyProtection="1">
      <alignment horizontal="center" vertical="center"/>
    </xf>
    <xf numFmtId="10" fontId="37" fillId="7" borderId="51" xfId="3" applyNumberFormat="1" applyFont="1" applyFill="1" applyBorder="1" applyAlignment="1" applyProtection="1">
      <alignment horizontal="center" vertical="center"/>
    </xf>
    <xf numFmtId="165" fontId="37" fillId="11" borderId="51" xfId="5" applyFont="1" applyFill="1" applyBorder="1" applyAlignment="1" applyProtection="1">
      <alignment horizontal="center" vertical="center"/>
    </xf>
    <xf numFmtId="10" fontId="37" fillId="11" borderId="51" xfId="3" applyNumberFormat="1" applyFont="1" applyFill="1" applyBorder="1" applyAlignment="1" applyProtection="1">
      <alignment horizontal="center" vertical="center"/>
    </xf>
    <xf numFmtId="0" fontId="35" fillId="15" borderId="0" xfId="4" applyFont="1" applyFill="1" applyAlignment="1">
      <alignment horizontal="center" vertical="center"/>
    </xf>
    <xf numFmtId="14" fontId="37" fillId="11" borderId="0" xfId="4" applyNumberFormat="1" applyFont="1" applyFill="1" applyAlignment="1">
      <alignment horizontal="center" vertical="center"/>
    </xf>
    <xf numFmtId="165" fontId="37" fillId="11" borderId="0" xfId="4" applyNumberFormat="1" applyFont="1" applyFill="1" applyAlignment="1">
      <alignment horizontal="center" vertical="center"/>
    </xf>
    <xf numFmtId="165" fontId="6" fillId="7" borderId="0" xfId="4" applyNumberFormat="1" applyFont="1" applyFill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171" fontId="4" fillId="0" borderId="0" xfId="1" applyNumberFormat="1" applyFont="1" applyAlignment="1">
      <alignment horizontal="center" vertical="center"/>
    </xf>
    <xf numFmtId="171" fontId="3" fillId="0" borderId="5" xfId="1" applyNumberFormat="1" applyFont="1" applyBorder="1" applyAlignment="1">
      <alignment horizontal="center" vertical="center"/>
    </xf>
    <xf numFmtId="171" fontId="3" fillId="0" borderId="7" xfId="1" applyNumberFormat="1" applyFont="1" applyBorder="1" applyAlignment="1">
      <alignment horizontal="center" vertical="center"/>
    </xf>
    <xf numFmtId="171" fontId="0" fillId="0" borderId="0" xfId="1" applyNumberFormat="1" applyFont="1" applyAlignment="1">
      <alignment horizontal="center" vertical="center"/>
    </xf>
    <xf numFmtId="171" fontId="2" fillId="2" borderId="0" xfId="1" applyNumberFormat="1" applyFont="1" applyFill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4" fontId="3" fillId="0" borderId="56" xfId="1" applyNumberFormat="1" applyFont="1" applyBorder="1" applyAlignment="1">
      <alignment horizontal="center" vertical="center"/>
    </xf>
    <xf numFmtId="14" fontId="3" fillId="0" borderId="57" xfId="1" applyNumberFormat="1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14" fontId="44" fillId="0" borderId="5" xfId="0" applyNumberFormat="1" applyFont="1" applyBorder="1" applyAlignment="1">
      <alignment horizontal="center" vertical="center"/>
    </xf>
    <xf numFmtId="164" fontId="44" fillId="0" borderId="5" xfId="0" applyNumberFormat="1" applyFont="1" applyBorder="1" applyAlignment="1">
      <alignment horizontal="center" vertical="center"/>
    </xf>
    <xf numFmtId="14" fontId="44" fillId="0" borderId="5" xfId="1" applyNumberFormat="1" applyFont="1" applyBorder="1" applyAlignment="1">
      <alignment horizontal="center" vertical="center"/>
    </xf>
    <xf numFmtId="171" fontId="44" fillId="0" borderId="5" xfId="1" applyNumberFormat="1" applyFont="1" applyBorder="1" applyAlignment="1">
      <alignment horizontal="center" vertical="center"/>
    </xf>
    <xf numFmtId="0" fontId="44" fillId="0" borderId="7" xfId="0" applyFont="1" applyBorder="1" applyAlignment="1">
      <alignment horizontal="center" vertical="center"/>
    </xf>
    <xf numFmtId="14" fontId="44" fillId="0" borderId="7" xfId="0" applyNumberFormat="1" applyFont="1" applyBorder="1" applyAlignment="1">
      <alignment horizontal="center" vertical="center"/>
    </xf>
    <xf numFmtId="164" fontId="44" fillId="0" borderId="7" xfId="0" applyNumberFormat="1" applyFont="1" applyBorder="1" applyAlignment="1">
      <alignment horizontal="center" vertical="center"/>
    </xf>
    <xf numFmtId="171" fontId="44" fillId="0" borderId="7" xfId="1" applyNumberFormat="1" applyFont="1" applyBorder="1" applyAlignment="1">
      <alignment horizontal="center" vertical="center"/>
    </xf>
    <xf numFmtId="0" fontId="0" fillId="0" borderId="5" xfId="0" applyBorder="1"/>
    <xf numFmtId="0" fontId="3" fillId="0" borderId="58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3" fontId="45" fillId="0" borderId="5" xfId="1" applyFont="1" applyBorder="1" applyAlignment="1">
      <alignment horizontal="center" vertical="center"/>
    </xf>
    <xf numFmtId="14" fontId="44" fillId="0" borderId="56" xfId="1" applyNumberFormat="1" applyFont="1" applyBorder="1" applyAlignment="1">
      <alignment horizontal="center" vertical="center"/>
    </xf>
    <xf numFmtId="14" fontId="44" fillId="0" borderId="7" xfId="1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44" fillId="0" borderId="57" xfId="1" applyNumberFormat="1" applyFont="1" applyBorder="1" applyAlignment="1">
      <alignment horizontal="center" vertical="center"/>
    </xf>
    <xf numFmtId="49" fontId="3" fillId="0" borderId="58" xfId="0" applyNumberFormat="1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14" fontId="0" fillId="0" borderId="7" xfId="0" applyNumberFormat="1" applyBorder="1" applyAlignment="1">
      <alignment horizontal="center"/>
    </xf>
    <xf numFmtId="164" fontId="3" fillId="0" borderId="5" xfId="0" applyNumberFormat="1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43" fontId="45" fillId="0" borderId="7" xfId="1" applyFont="1" applyBorder="1" applyAlignment="1">
      <alignment horizontal="center" vertical="center"/>
    </xf>
    <xf numFmtId="43" fontId="26" fillId="18" borderId="14" xfId="1" applyFont="1" applyFill="1" applyBorder="1" applyAlignment="1">
      <alignment horizontal="center" vertical="center"/>
    </xf>
    <xf numFmtId="43" fontId="26" fillId="18" borderId="8" xfId="1" applyFont="1" applyFill="1" applyBorder="1" applyAlignment="1">
      <alignment horizontal="center" vertical="center"/>
    </xf>
    <xf numFmtId="43" fontId="25" fillId="18" borderId="24" xfId="1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14" fontId="46" fillId="0" borderId="7" xfId="0" applyNumberFormat="1" applyFont="1" applyBorder="1" applyAlignment="1">
      <alignment horizontal="center" vertical="center"/>
    </xf>
    <xf numFmtId="164" fontId="46" fillId="0" borderId="7" xfId="0" applyNumberFormat="1" applyFont="1" applyBorder="1" applyAlignment="1">
      <alignment horizontal="center" vertical="center"/>
    </xf>
    <xf numFmtId="43" fontId="47" fillId="0" borderId="7" xfId="1" applyFont="1" applyBorder="1" applyAlignment="1">
      <alignment horizontal="center" vertical="center"/>
    </xf>
    <xf numFmtId="14" fontId="46" fillId="0" borderId="56" xfId="1" applyNumberFormat="1" applyFont="1" applyBorder="1" applyAlignment="1">
      <alignment horizontal="center" vertical="center"/>
    </xf>
    <xf numFmtId="14" fontId="46" fillId="0" borderId="7" xfId="1" applyNumberFormat="1" applyFont="1" applyBorder="1" applyAlignment="1">
      <alignment horizontal="center" vertical="center"/>
    </xf>
    <xf numFmtId="171" fontId="46" fillId="0" borderId="7" xfId="1" applyNumberFormat="1" applyFont="1" applyBorder="1" applyAlignment="1">
      <alignment horizontal="center" vertical="center"/>
    </xf>
    <xf numFmtId="14" fontId="3" fillId="0" borderId="58" xfId="0" applyNumberFormat="1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14" fontId="46" fillId="0" borderId="5" xfId="0" applyNumberFormat="1" applyFont="1" applyBorder="1" applyAlignment="1">
      <alignment horizontal="center" vertical="center"/>
    </xf>
    <xf numFmtId="164" fontId="46" fillId="0" borderId="5" xfId="0" applyNumberFormat="1" applyFont="1" applyBorder="1" applyAlignment="1">
      <alignment horizontal="center" vertical="center"/>
    </xf>
    <xf numFmtId="43" fontId="47" fillId="0" borderId="5" xfId="1" applyFont="1" applyBorder="1" applyAlignment="1">
      <alignment horizontal="center" vertical="center"/>
    </xf>
    <xf numFmtId="14" fontId="46" fillId="0" borderId="57" xfId="1" applyNumberFormat="1" applyFont="1" applyBorder="1" applyAlignment="1">
      <alignment horizontal="center" vertical="center"/>
    </xf>
    <xf numFmtId="14" fontId="46" fillId="0" borderId="5" xfId="1" applyNumberFormat="1" applyFont="1" applyBorder="1" applyAlignment="1">
      <alignment horizontal="center" vertical="center"/>
    </xf>
    <xf numFmtId="171" fontId="46" fillId="0" borderId="5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3" fillId="18" borderId="5" xfId="0" applyNumberFormat="1" applyFont="1" applyFill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14" fontId="48" fillId="0" borderId="5" xfId="0" applyNumberFormat="1" applyFont="1" applyBorder="1" applyAlignment="1">
      <alignment horizontal="center" vertical="center"/>
    </xf>
    <xf numFmtId="43" fontId="49" fillId="0" borderId="7" xfId="1" applyFont="1" applyBorder="1" applyAlignment="1">
      <alignment horizontal="center" vertical="center"/>
    </xf>
    <xf numFmtId="14" fontId="48" fillId="0" borderId="7" xfId="0" applyNumberFormat="1" applyFont="1" applyBorder="1" applyAlignment="1">
      <alignment horizontal="center" vertical="center"/>
    </xf>
    <xf numFmtId="0" fontId="50" fillId="0" borderId="0" xfId="0" applyFont="1"/>
    <xf numFmtId="0" fontId="51" fillId="0" borderId="7" xfId="0" applyFont="1" applyBorder="1" applyAlignment="1">
      <alignment horizontal="center" vertical="center"/>
    </xf>
    <xf numFmtId="14" fontId="51" fillId="0" borderId="7" xfId="0" applyNumberFormat="1" applyFont="1" applyBorder="1" applyAlignment="1">
      <alignment horizontal="center" vertical="center"/>
    </xf>
    <xf numFmtId="49" fontId="51" fillId="0" borderId="5" xfId="0" applyNumberFormat="1" applyFont="1" applyBorder="1" applyAlignment="1">
      <alignment horizontal="center" vertical="center"/>
    </xf>
    <xf numFmtId="164" fontId="51" fillId="0" borderId="7" xfId="0" applyNumberFormat="1" applyFont="1" applyBorder="1" applyAlignment="1">
      <alignment horizontal="center" vertical="center"/>
    </xf>
    <xf numFmtId="43" fontId="52" fillId="0" borderId="7" xfId="1" applyFont="1" applyBorder="1" applyAlignment="1">
      <alignment horizontal="center" vertical="center"/>
    </xf>
    <xf numFmtId="14" fontId="51" fillId="0" borderId="56" xfId="1" applyNumberFormat="1" applyFont="1" applyBorder="1" applyAlignment="1">
      <alignment horizontal="center" vertical="center"/>
    </xf>
    <xf numFmtId="14" fontId="51" fillId="0" borderId="5" xfId="1" applyNumberFormat="1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14" fontId="51" fillId="0" borderId="5" xfId="0" applyNumberFormat="1" applyFont="1" applyBorder="1" applyAlignment="1">
      <alignment horizontal="center" vertical="center"/>
    </xf>
    <xf numFmtId="171" fontId="51" fillId="0" borderId="5" xfId="1" applyNumberFormat="1" applyFont="1" applyBorder="1" applyAlignment="1">
      <alignment horizontal="center" vertical="center"/>
    </xf>
    <xf numFmtId="0" fontId="53" fillId="0" borderId="0" xfId="0" applyFont="1"/>
    <xf numFmtId="49" fontId="48" fillId="0" borderId="7" xfId="0" applyNumberFormat="1" applyFont="1" applyBorder="1" applyAlignment="1">
      <alignment horizontal="center" vertical="center"/>
    </xf>
    <xf numFmtId="164" fontId="48" fillId="0" borderId="7" xfId="0" applyNumberFormat="1" applyFont="1" applyBorder="1" applyAlignment="1">
      <alignment horizontal="center" vertical="center"/>
    </xf>
    <xf numFmtId="14" fontId="48" fillId="0" borderId="56" xfId="1" applyNumberFormat="1" applyFont="1" applyBorder="1" applyAlignment="1">
      <alignment horizontal="center" vertical="center"/>
    </xf>
    <xf numFmtId="14" fontId="48" fillId="0" borderId="7" xfId="1" applyNumberFormat="1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171" fontId="51" fillId="0" borderId="7" xfId="1" applyNumberFormat="1" applyFont="1" applyBorder="1" applyAlignment="1">
      <alignment horizontal="center" vertical="center"/>
    </xf>
    <xf numFmtId="171" fontId="48" fillId="0" borderId="7" xfId="1" applyNumberFormat="1" applyFont="1" applyBorder="1" applyAlignment="1">
      <alignment horizontal="center" vertical="center"/>
    </xf>
    <xf numFmtId="0" fontId="55" fillId="0" borderId="7" xfId="0" applyFont="1" applyBorder="1" applyAlignment="1">
      <alignment horizontal="center" vertical="center"/>
    </xf>
    <xf numFmtId="14" fontId="55" fillId="0" borderId="7" xfId="0" applyNumberFormat="1" applyFont="1" applyBorder="1" applyAlignment="1">
      <alignment horizontal="center" vertical="center"/>
    </xf>
    <xf numFmtId="49" fontId="55" fillId="0" borderId="5" xfId="0" applyNumberFormat="1" applyFont="1" applyBorder="1" applyAlignment="1">
      <alignment horizontal="center" vertical="center"/>
    </xf>
    <xf numFmtId="164" fontId="55" fillId="0" borderId="5" xfId="0" applyNumberFormat="1" applyFont="1" applyBorder="1" applyAlignment="1">
      <alignment horizontal="center" vertical="center"/>
    </xf>
    <xf numFmtId="43" fontId="56" fillId="0" borderId="7" xfId="1" applyFont="1" applyBorder="1" applyAlignment="1">
      <alignment horizontal="center" vertical="center"/>
    </xf>
    <xf numFmtId="14" fontId="55" fillId="0" borderId="56" xfId="1" applyNumberFormat="1" applyFont="1" applyBorder="1" applyAlignment="1">
      <alignment horizontal="center" vertical="center"/>
    </xf>
    <xf numFmtId="14" fontId="55" fillId="0" borderId="5" xfId="1" applyNumberFormat="1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14" fontId="55" fillId="0" borderId="5" xfId="0" applyNumberFormat="1" applyFont="1" applyBorder="1" applyAlignment="1">
      <alignment horizontal="center" vertical="center"/>
    </xf>
    <xf numFmtId="171" fontId="55" fillId="0" borderId="5" xfId="1" applyNumberFormat="1" applyFont="1" applyBorder="1" applyAlignment="1">
      <alignment horizontal="center" vertical="center"/>
    </xf>
    <xf numFmtId="0" fontId="54" fillId="0" borderId="0" xfId="0" applyFont="1"/>
    <xf numFmtId="164" fontId="55" fillId="0" borderId="7" xfId="0" applyNumberFormat="1" applyFont="1" applyBorder="1" applyAlignment="1">
      <alignment horizontal="center" vertical="center"/>
    </xf>
    <xf numFmtId="171" fontId="55" fillId="0" borderId="7" xfId="1" applyNumberFormat="1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14" fontId="57" fillId="0" borderId="5" xfId="0" applyNumberFormat="1" applyFont="1" applyBorder="1" applyAlignment="1">
      <alignment horizontal="center" vertical="center"/>
    </xf>
    <xf numFmtId="164" fontId="57" fillId="0" borderId="5" xfId="0" applyNumberFormat="1" applyFont="1" applyBorder="1" applyAlignment="1">
      <alignment horizontal="center" vertical="center"/>
    </xf>
    <xf numFmtId="43" fontId="58" fillId="0" borderId="5" xfId="1" applyFont="1" applyBorder="1" applyAlignment="1">
      <alignment horizontal="center" vertical="center"/>
    </xf>
    <xf numFmtId="14" fontId="57" fillId="0" borderId="57" xfId="1" applyNumberFormat="1" applyFont="1" applyBorder="1" applyAlignment="1">
      <alignment horizontal="center" vertical="center"/>
    </xf>
    <xf numFmtId="171" fontId="57" fillId="0" borderId="5" xfId="1" applyNumberFormat="1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/>
    </xf>
    <xf numFmtId="14" fontId="57" fillId="0" borderId="7" xfId="0" applyNumberFormat="1" applyFont="1" applyBorder="1" applyAlignment="1">
      <alignment horizontal="center" vertical="center"/>
    </xf>
    <xf numFmtId="164" fontId="57" fillId="0" borderId="7" xfId="0" applyNumberFormat="1" applyFont="1" applyBorder="1" applyAlignment="1">
      <alignment horizontal="center" vertical="center"/>
    </xf>
    <xf numFmtId="43" fontId="58" fillId="0" borderId="7" xfId="1" applyFont="1" applyBorder="1" applyAlignment="1">
      <alignment horizontal="center" vertical="center"/>
    </xf>
    <xf numFmtId="14" fontId="57" fillId="0" borderId="56" xfId="1" applyNumberFormat="1" applyFont="1" applyBorder="1" applyAlignment="1">
      <alignment horizontal="center" vertical="center"/>
    </xf>
    <xf numFmtId="14" fontId="57" fillId="0" borderId="7" xfId="1" applyNumberFormat="1" applyFont="1" applyBorder="1" applyAlignment="1">
      <alignment horizontal="center" vertical="center"/>
    </xf>
    <xf numFmtId="171" fontId="57" fillId="0" borderId="7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44" fillId="0" borderId="0" xfId="0" applyNumberFormat="1" applyFont="1" applyAlignment="1">
      <alignment horizontal="center" vertical="center"/>
    </xf>
    <xf numFmtId="14" fontId="57" fillId="0" borderId="5" xfId="1" applyNumberFormat="1" applyFont="1" applyBorder="1" applyAlignment="1">
      <alignment horizontal="center" vertical="center"/>
    </xf>
    <xf numFmtId="43" fontId="60" fillId="0" borderId="5" xfId="1" applyFont="1" applyBorder="1" applyAlignment="1">
      <alignment horizontal="center" vertical="center"/>
    </xf>
    <xf numFmtId="0" fontId="59" fillId="0" borderId="7" xfId="0" applyFont="1" applyBorder="1" applyAlignment="1">
      <alignment horizontal="center" vertical="center"/>
    </xf>
    <xf numFmtId="14" fontId="59" fillId="0" borderId="7" xfId="0" applyNumberFormat="1" applyFont="1" applyBorder="1" applyAlignment="1">
      <alignment horizontal="center" vertical="center"/>
    </xf>
    <xf numFmtId="164" fontId="59" fillId="0" borderId="7" xfId="0" applyNumberFormat="1" applyFont="1" applyBorder="1" applyAlignment="1">
      <alignment horizontal="center" vertical="center"/>
    </xf>
    <xf numFmtId="43" fontId="60" fillId="0" borderId="7" xfId="1" applyFont="1" applyBorder="1" applyAlignment="1">
      <alignment horizontal="center" vertical="center"/>
    </xf>
    <xf numFmtId="14" fontId="59" fillId="0" borderId="56" xfId="1" applyNumberFormat="1" applyFont="1" applyBorder="1" applyAlignment="1">
      <alignment horizontal="center" vertical="center"/>
    </xf>
    <xf numFmtId="14" fontId="59" fillId="0" borderId="7" xfId="1" applyNumberFormat="1" applyFont="1" applyBorder="1" applyAlignment="1">
      <alignment horizontal="center" vertical="center"/>
    </xf>
    <xf numFmtId="171" fontId="59" fillId="0" borderId="7" xfId="1" applyNumberFormat="1" applyFont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9" fillId="11" borderId="4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3" fillId="11" borderId="18" xfId="0" applyFont="1" applyFill="1" applyBorder="1" applyAlignment="1">
      <alignment horizontal="center" vertical="center"/>
    </xf>
    <xf numFmtId="0" fontId="23" fillId="11" borderId="19" xfId="0" applyFont="1" applyFill="1" applyBorder="1" applyAlignment="1">
      <alignment horizontal="center" vertical="center"/>
    </xf>
    <xf numFmtId="0" fontId="23" fillId="11" borderId="20" xfId="0" applyFont="1" applyFill="1" applyBorder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0" fontId="12" fillId="11" borderId="18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22" fillId="11" borderId="18" xfId="0" applyFont="1" applyFill="1" applyBorder="1" applyAlignment="1">
      <alignment horizontal="center" vertical="center"/>
    </xf>
    <xf numFmtId="0" fontId="22" fillId="11" borderId="19" xfId="0" applyFont="1" applyFill="1" applyBorder="1" applyAlignment="1">
      <alignment horizontal="center" vertical="center"/>
    </xf>
    <xf numFmtId="0" fontId="22" fillId="11" borderId="20" xfId="0" applyFont="1" applyFill="1" applyBorder="1" applyAlignment="1">
      <alignment horizontal="center" vertical="center"/>
    </xf>
    <xf numFmtId="14" fontId="32" fillId="4" borderId="0" xfId="4" applyNumberFormat="1" applyFont="1" applyFill="1" applyAlignment="1">
      <alignment horizontal="center" vertical="center"/>
    </xf>
    <xf numFmtId="14" fontId="32" fillId="4" borderId="0" xfId="4" applyNumberFormat="1" applyFont="1" applyFill="1" applyAlignment="1">
      <alignment horizontal="center" vertical="center" wrapText="1"/>
    </xf>
    <xf numFmtId="0" fontId="37" fillId="11" borderId="0" xfId="4" applyFont="1" applyFill="1" applyAlignment="1">
      <alignment horizontal="center" vertical="center"/>
    </xf>
    <xf numFmtId="166" fontId="34" fillId="11" borderId="0" xfId="4" applyNumberFormat="1" applyFont="1" applyFill="1" applyAlignment="1" applyProtection="1">
      <alignment horizontal="center" vertical="center"/>
      <protection locked="0"/>
    </xf>
    <xf numFmtId="166" fontId="37" fillId="4" borderId="0" xfId="4" applyNumberFormat="1" applyFont="1" applyFill="1" applyAlignment="1" applyProtection="1">
      <alignment horizontal="center" vertical="center"/>
      <protection locked="0"/>
    </xf>
    <xf numFmtId="14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14" fontId="3" fillId="0" borderId="7" xfId="0" applyNumberFormat="1" applyFont="1" applyFill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</cellXfs>
  <cellStyles count="7">
    <cellStyle name="Moeda" xfId="2" builtinId="4"/>
    <cellStyle name="Normal" xfId="0" builtinId="0"/>
    <cellStyle name="Normal 2" xfId="4" xr:uid="{00000000-0005-0000-0000-000002000000}"/>
    <cellStyle name="Porcentagem" xfId="3" builtinId="5"/>
    <cellStyle name="Vírgula" xfId="1" builtinId="3"/>
    <cellStyle name="Vírgula 2" xfId="5" xr:uid="{00000000-0005-0000-0000-000005000000}"/>
    <cellStyle name="Vírgula 2 2" xfId="6" xr:uid="{00000000-0005-0000-0000-000006000000}"/>
  </cellStyles>
  <dxfs count="2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1"/>
      </font>
      <fill>
        <patternFill>
          <bgColor theme="0" tint="-4.9989318521683403E-2"/>
        </patternFill>
      </fill>
    </dxf>
    <dxf>
      <font>
        <color auto="1"/>
      </font>
      <fill>
        <patternFill>
          <bgColor theme="0" tint="-4.9989318521683403E-2"/>
        </patternFill>
      </fill>
    </dxf>
    <dxf>
      <font>
        <color rgb="FFC000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theme="5" tint="0.79995117038483843"/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64" formatCode="000000000\-00"/>
      <alignment horizontal="center" vertical="center" textRotation="0" wrapText="0" indent="0" justifyLastLine="0" shrinkToFit="0" readingOrder="0"/>
      <border diagonalUp="0" diagonalDown="0" outline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4" formatCode="0.00%"/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70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5" formatCode="_(* #,##0.00_);_(* \(#,##0.0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scheme val="minor"/>
      </font>
      <numFmt numFmtId="16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scheme val="minor"/>
      </font>
      <numFmt numFmtId="172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  <protection locked="0" hidden="0"/>
    </dxf>
    <dxf>
      <font>
        <strike val="0"/>
        <outline val="0"/>
        <shadow val="0"/>
        <u val="none"/>
        <vertAlign val="baseline"/>
        <sz val="12"/>
        <name val="Aptos Narrow"/>
        <scheme val="minor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71" formatCode="_-* #,##0_-;\-* #,##0_-;_-* &quot;-&quot;??_-;_-@_-"/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/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9" formatCode="dd/mm/yyyy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theme="4" tint="0.39994506668294322"/>
        </left>
        <right style="hair">
          <color theme="4" tint="0.39994506668294322"/>
        </right>
        <top style="hair">
          <color theme="4" tint="0.39994506668294322"/>
        </top>
        <bottom style="hair">
          <color theme="4" tint="0.39994506668294322"/>
        </bottom>
        <vertical/>
        <horizontal/>
      </border>
    </dxf>
    <dxf>
      <border outline="0">
        <top style="thin">
          <color theme="4" tint="0.39997558519241921"/>
        </top>
        <bottom style="hair">
          <color theme="4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TD!A1"/><Relationship Id="rId3" Type="http://schemas.openxmlformats.org/officeDocument/2006/relationships/hyperlink" Target="#DISPON&#205;VEL!A1"/><Relationship Id="rId7" Type="http://schemas.openxmlformats.org/officeDocument/2006/relationships/hyperlink" Target="#DIARIO!A1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hyperlink" Target="#FATURAMENTO!A1"/><Relationship Id="rId6" Type="http://schemas.openxmlformats.org/officeDocument/2006/relationships/image" Target="../media/image4.png"/><Relationship Id="rId11" Type="http://schemas.openxmlformats.org/officeDocument/2006/relationships/hyperlink" Target="#PM!A1"/><Relationship Id="rId5" Type="http://schemas.openxmlformats.org/officeDocument/2006/relationships/hyperlink" Target="#'A RECEBER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FUNDOS!A1"/><Relationship Id="rId1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TD!A1"/><Relationship Id="rId3" Type="http://schemas.openxmlformats.org/officeDocument/2006/relationships/hyperlink" Target="#DISPON&#205;VEL!A1"/><Relationship Id="rId7" Type="http://schemas.openxmlformats.org/officeDocument/2006/relationships/hyperlink" Target="#DIARIO!A1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hyperlink" Target="#FATURAMENTO!A1"/><Relationship Id="rId6" Type="http://schemas.openxmlformats.org/officeDocument/2006/relationships/image" Target="../media/image4.png"/><Relationship Id="rId11" Type="http://schemas.openxmlformats.org/officeDocument/2006/relationships/hyperlink" Target="#PM!A1"/><Relationship Id="rId5" Type="http://schemas.openxmlformats.org/officeDocument/2006/relationships/hyperlink" Target="#'A RECEBER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FUNDOS!A1"/><Relationship Id="rId1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TD!A1"/><Relationship Id="rId3" Type="http://schemas.openxmlformats.org/officeDocument/2006/relationships/hyperlink" Target="#DISPON&#205;VEL!A1"/><Relationship Id="rId7" Type="http://schemas.openxmlformats.org/officeDocument/2006/relationships/hyperlink" Target="#DIARIO!A1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hyperlink" Target="#FATURAMENTO!A1"/><Relationship Id="rId6" Type="http://schemas.openxmlformats.org/officeDocument/2006/relationships/image" Target="../media/image4.png"/><Relationship Id="rId11" Type="http://schemas.openxmlformats.org/officeDocument/2006/relationships/hyperlink" Target="#PM!A1"/><Relationship Id="rId5" Type="http://schemas.openxmlformats.org/officeDocument/2006/relationships/hyperlink" Target="#'A RECEBER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FUNDOS!A1"/><Relationship Id="rId1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hyperlink" Target="#PM!A1"/><Relationship Id="rId3" Type="http://schemas.openxmlformats.org/officeDocument/2006/relationships/hyperlink" Target="#FATURAMENTO!A1"/><Relationship Id="rId7" Type="http://schemas.openxmlformats.org/officeDocument/2006/relationships/hyperlink" Target="#'A RECEBER'!A1"/><Relationship Id="rId12" Type="http://schemas.openxmlformats.org/officeDocument/2006/relationships/image" Target="../media/image6.png"/><Relationship Id="rId2" Type="http://schemas.openxmlformats.org/officeDocument/2006/relationships/image" Target="../media/image8.png"/><Relationship Id="rId16" Type="http://schemas.openxmlformats.org/officeDocument/2006/relationships/image" Target="../media/image1.png"/><Relationship Id="rId1" Type="http://schemas.openxmlformats.org/officeDocument/2006/relationships/hyperlink" Target="#CAPA!A1"/><Relationship Id="rId6" Type="http://schemas.openxmlformats.org/officeDocument/2006/relationships/image" Target="../media/image3.png"/><Relationship Id="rId11" Type="http://schemas.openxmlformats.org/officeDocument/2006/relationships/hyperlink" Target="#FUNDOS!A1"/><Relationship Id="rId5" Type="http://schemas.openxmlformats.org/officeDocument/2006/relationships/hyperlink" Target="#DISPON&#205;VEL!A1"/><Relationship Id="rId15" Type="http://schemas.openxmlformats.org/officeDocument/2006/relationships/hyperlink" Target="#TD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DIARIO!A1"/><Relationship Id="rId1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TD!A1"/><Relationship Id="rId3" Type="http://schemas.openxmlformats.org/officeDocument/2006/relationships/hyperlink" Target="#DISPON&#205;VEL!A1"/><Relationship Id="rId7" Type="http://schemas.openxmlformats.org/officeDocument/2006/relationships/hyperlink" Target="#DIARIO!A1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hyperlink" Target="#FATURAMENTO!A1"/><Relationship Id="rId6" Type="http://schemas.openxmlformats.org/officeDocument/2006/relationships/image" Target="../media/image4.png"/><Relationship Id="rId11" Type="http://schemas.openxmlformats.org/officeDocument/2006/relationships/hyperlink" Target="#PM!A1"/><Relationship Id="rId5" Type="http://schemas.openxmlformats.org/officeDocument/2006/relationships/hyperlink" Target="#'A RECEBER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FUNDOS!A1"/><Relationship Id="rId14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TD!A1"/><Relationship Id="rId3" Type="http://schemas.openxmlformats.org/officeDocument/2006/relationships/hyperlink" Target="#DISPON&#205;VEL!A1"/><Relationship Id="rId7" Type="http://schemas.openxmlformats.org/officeDocument/2006/relationships/hyperlink" Target="#DIARIO!A1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hyperlink" Target="#FATURAMENTO!A1"/><Relationship Id="rId6" Type="http://schemas.openxmlformats.org/officeDocument/2006/relationships/image" Target="../media/image4.png"/><Relationship Id="rId11" Type="http://schemas.openxmlformats.org/officeDocument/2006/relationships/hyperlink" Target="#PM!A1"/><Relationship Id="rId5" Type="http://schemas.openxmlformats.org/officeDocument/2006/relationships/hyperlink" Target="#'A RECEBER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FUNDOS!A1"/><Relationship Id="rId1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TD!A1"/><Relationship Id="rId3" Type="http://schemas.openxmlformats.org/officeDocument/2006/relationships/hyperlink" Target="#DISPON&#205;VEL!A1"/><Relationship Id="rId7" Type="http://schemas.openxmlformats.org/officeDocument/2006/relationships/hyperlink" Target="#DIARIO!A1"/><Relationship Id="rId12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hyperlink" Target="#FATURAMENTO!A1"/><Relationship Id="rId6" Type="http://schemas.openxmlformats.org/officeDocument/2006/relationships/image" Target="../media/image4.png"/><Relationship Id="rId11" Type="http://schemas.openxmlformats.org/officeDocument/2006/relationships/hyperlink" Target="#PM!A1"/><Relationship Id="rId5" Type="http://schemas.openxmlformats.org/officeDocument/2006/relationships/hyperlink" Target="#'A RECEBER'!A1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hyperlink" Target="#FUNDOS!A1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0</xdr:col>
      <xdr:colOff>597150</xdr:colOff>
      <xdr:row>2</xdr:row>
      <xdr:rowOff>102825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49FADA-E53E-4B30-B965-C005FC3E74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6200"/>
          <a:ext cx="540000" cy="36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19050</xdr:rowOff>
    </xdr:from>
    <xdr:to>
      <xdr:col>2</xdr:col>
      <xdr:colOff>703763</xdr:colOff>
      <xdr:row>2</xdr:row>
      <xdr:rowOff>178050</xdr:rowOff>
    </xdr:to>
    <xdr:pic>
      <xdr:nvPicPr>
        <xdr:cNvPr id="17" name="Imagem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B254EF-EFCE-42A5-99C9-495325F98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alphaModFix/>
        </a:blip>
        <a:stretch>
          <a:fillRect/>
        </a:stretch>
      </xdr:blipFill>
      <xdr:spPr>
        <a:xfrm>
          <a:off x="1181100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813090</xdr:colOff>
      <xdr:row>0</xdr:row>
      <xdr:rowOff>9525</xdr:rowOff>
    </xdr:from>
    <xdr:to>
      <xdr:col>3</xdr:col>
      <xdr:colOff>896716</xdr:colOff>
      <xdr:row>2</xdr:row>
      <xdr:rowOff>168525</xdr:rowOff>
    </xdr:to>
    <xdr:pic>
      <xdr:nvPicPr>
        <xdr:cNvPr id="18" name="Imagem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CFB63F9-3A5C-49E2-AB6F-67FC79401F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alphaModFix amt="25000"/>
        </a:blip>
        <a:stretch>
          <a:fillRect/>
        </a:stretch>
      </xdr:blipFill>
      <xdr:spPr>
        <a:xfrm>
          <a:off x="2784765" y="9525"/>
          <a:ext cx="1074226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53689</xdr:colOff>
      <xdr:row>0</xdr:row>
      <xdr:rowOff>9525</xdr:rowOff>
    </xdr:from>
    <xdr:to>
      <xdr:col>5</xdr:col>
      <xdr:colOff>343114</xdr:colOff>
      <xdr:row>2</xdr:row>
      <xdr:rowOff>168525</xdr:rowOff>
    </xdr:to>
    <xdr:pic>
      <xdr:nvPicPr>
        <xdr:cNvPr id="19" name="Imagem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E465CF8-D4E1-4E88-8CE2-E63D4AFAA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alphaModFix amt="25000"/>
        </a:blip>
        <a:stretch>
          <a:fillRect/>
        </a:stretch>
      </xdr:blipFill>
      <xdr:spPr>
        <a:xfrm>
          <a:off x="3958939" y="9525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447677</xdr:colOff>
      <xdr:row>0</xdr:row>
      <xdr:rowOff>9525</xdr:rowOff>
    </xdr:from>
    <xdr:to>
      <xdr:col>5</xdr:col>
      <xdr:colOff>1520825</xdr:colOff>
      <xdr:row>2</xdr:row>
      <xdr:rowOff>168525</xdr:rowOff>
    </xdr:to>
    <xdr:pic>
      <xdr:nvPicPr>
        <xdr:cNvPr id="20" name="Imagem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FA721E0-66F0-4EC1-B588-182B8799A0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alphaModFix amt="25000"/>
        </a:blip>
        <a:stretch>
          <a:fillRect/>
        </a:stretch>
      </xdr:blipFill>
      <xdr:spPr>
        <a:xfrm>
          <a:off x="5143502" y="9525"/>
          <a:ext cx="1073148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1632240</xdr:colOff>
      <xdr:row>0</xdr:row>
      <xdr:rowOff>9525</xdr:rowOff>
    </xdr:from>
    <xdr:to>
      <xdr:col>5</xdr:col>
      <xdr:colOff>2712240</xdr:colOff>
      <xdr:row>2</xdr:row>
      <xdr:rowOff>168525</xdr:rowOff>
    </xdr:to>
    <xdr:pic>
      <xdr:nvPicPr>
        <xdr:cNvPr id="21" name="Imagem 2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756058A-20D2-4E4A-87C8-879C6A12B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alphaModFix amt="25000"/>
        </a:blip>
        <a:stretch>
          <a:fillRect/>
        </a:stretch>
      </xdr:blipFill>
      <xdr:spPr>
        <a:xfrm>
          <a:off x="6328065" y="9525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2816804</xdr:colOff>
      <xdr:row>0</xdr:row>
      <xdr:rowOff>9525</xdr:rowOff>
    </xdr:from>
    <xdr:to>
      <xdr:col>5</xdr:col>
      <xdr:colOff>3895218</xdr:colOff>
      <xdr:row>2</xdr:row>
      <xdr:rowOff>168525</xdr:rowOff>
    </xdr:to>
    <xdr:pic>
      <xdr:nvPicPr>
        <xdr:cNvPr id="22" name="Imagem 2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E0CE22C-0609-411B-8DDD-9E5BB20A33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alphaModFix amt="25000"/>
        </a:blip>
        <a:stretch>
          <a:fillRect/>
        </a:stretch>
      </xdr:blipFill>
      <xdr:spPr>
        <a:xfrm>
          <a:off x="7512629" y="9525"/>
          <a:ext cx="1078414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2</xdr:row>
      <xdr:rowOff>159000</xdr:rowOff>
    </xdr:to>
    <xdr:pic>
      <xdr:nvPicPr>
        <xdr:cNvPr id="23" name="Imagem 2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D327BEF-FAF1-459B-A245-836A38BD5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80000" cy="54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19050</xdr:rowOff>
    </xdr:from>
    <xdr:to>
      <xdr:col>3</xdr:col>
      <xdr:colOff>184650</xdr:colOff>
      <xdr:row>2</xdr:row>
      <xdr:rowOff>101850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234BBA-F3B9-46F9-A62B-1DAA6661B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alphaModFix amt="25000"/>
        </a:blip>
        <a:stretch>
          <a:fillRect/>
        </a:stretch>
      </xdr:blipFill>
      <xdr:spPr>
        <a:xfrm>
          <a:off x="1181100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289215</xdr:colOff>
      <xdr:row>0</xdr:row>
      <xdr:rowOff>19050</xdr:rowOff>
    </xdr:from>
    <xdr:to>
      <xdr:col>3</xdr:col>
      <xdr:colOff>1369215</xdr:colOff>
      <xdr:row>2</xdr:row>
      <xdr:rowOff>101850</xdr:rowOff>
    </xdr:to>
    <xdr:pic>
      <xdr:nvPicPr>
        <xdr:cNvPr id="11" name="Imagem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B8F119F-1450-479D-9752-56D27217E7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alphaModFix/>
        </a:blip>
        <a:stretch>
          <a:fillRect/>
        </a:stretch>
      </xdr:blipFill>
      <xdr:spPr>
        <a:xfrm>
          <a:off x="2365665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92653</xdr:colOff>
      <xdr:row>0</xdr:row>
      <xdr:rowOff>19050</xdr:rowOff>
    </xdr:from>
    <xdr:to>
      <xdr:col>4</xdr:col>
      <xdr:colOff>1172653</xdr:colOff>
      <xdr:row>2</xdr:row>
      <xdr:rowOff>101850</xdr:rowOff>
    </xdr:to>
    <xdr:pic>
      <xdr:nvPicPr>
        <xdr:cNvPr id="12" name="Imagem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D5C3B3B-021E-4DDE-A746-DFA49A723D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alphaModFix amt="25000"/>
        </a:blip>
        <a:stretch>
          <a:fillRect/>
        </a:stretch>
      </xdr:blipFill>
      <xdr:spPr>
        <a:xfrm>
          <a:off x="355022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1277216</xdr:colOff>
      <xdr:row>0</xdr:row>
      <xdr:rowOff>19050</xdr:rowOff>
    </xdr:from>
    <xdr:to>
      <xdr:col>5</xdr:col>
      <xdr:colOff>976091</xdr:colOff>
      <xdr:row>2</xdr:row>
      <xdr:rowOff>101850</xdr:rowOff>
    </xdr:to>
    <xdr:pic>
      <xdr:nvPicPr>
        <xdr:cNvPr id="13" name="Imagem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837C679-61E4-4A9D-B445-68542DFC5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alphaModFix amt="25000"/>
        </a:blip>
        <a:stretch>
          <a:fillRect/>
        </a:stretch>
      </xdr:blipFill>
      <xdr:spPr>
        <a:xfrm>
          <a:off x="4734791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1080654</xdr:colOff>
      <xdr:row>0</xdr:row>
      <xdr:rowOff>19050</xdr:rowOff>
    </xdr:from>
    <xdr:to>
      <xdr:col>6</xdr:col>
      <xdr:colOff>779529</xdr:colOff>
      <xdr:row>2</xdr:row>
      <xdr:rowOff>101850</xdr:rowOff>
    </xdr:to>
    <xdr:pic>
      <xdr:nvPicPr>
        <xdr:cNvPr id="14" name="Imagem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F7056A2-1B0E-49E7-AC07-9A4F7F8D25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alphaModFix amt="25000"/>
        </a:blip>
        <a:stretch>
          <a:fillRect/>
        </a:stretch>
      </xdr:blipFill>
      <xdr:spPr>
        <a:xfrm>
          <a:off x="5919354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884093</xdr:colOff>
      <xdr:row>0</xdr:row>
      <xdr:rowOff>19050</xdr:rowOff>
    </xdr:from>
    <xdr:to>
      <xdr:col>7</xdr:col>
      <xdr:colOff>582968</xdr:colOff>
      <xdr:row>2</xdr:row>
      <xdr:rowOff>101850</xdr:rowOff>
    </xdr:to>
    <xdr:pic>
      <xdr:nvPicPr>
        <xdr:cNvPr id="15" name="Imagem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97B3A0C-1E2E-448F-8256-5261968DC8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alphaModFix amt="25000"/>
        </a:blip>
        <a:stretch>
          <a:fillRect/>
        </a:stretch>
      </xdr:blipFill>
      <xdr:spPr>
        <a:xfrm>
          <a:off x="710391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365625</xdr:colOff>
      <xdr:row>2</xdr:row>
      <xdr:rowOff>82800</xdr:rowOff>
    </xdr:to>
    <xdr:pic>
      <xdr:nvPicPr>
        <xdr:cNvPr id="16" name="Imagem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E8536BC-AD3D-4BC2-B45C-82FA8CEC13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80000" cy="54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19050</xdr:rowOff>
    </xdr:from>
    <xdr:to>
      <xdr:col>3</xdr:col>
      <xdr:colOff>318000</xdr:colOff>
      <xdr:row>2</xdr:row>
      <xdr:rowOff>101850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26887E-D66C-4F30-9EC8-907EF9982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alphaModFix amt="25000"/>
        </a:blip>
        <a:stretch>
          <a:fillRect/>
        </a:stretch>
      </xdr:blipFill>
      <xdr:spPr>
        <a:xfrm>
          <a:off x="1181100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422565</xdr:colOff>
      <xdr:row>0</xdr:row>
      <xdr:rowOff>19050</xdr:rowOff>
    </xdr:from>
    <xdr:to>
      <xdr:col>4</xdr:col>
      <xdr:colOff>121440</xdr:colOff>
      <xdr:row>2</xdr:row>
      <xdr:rowOff>101850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FD19F8-B097-4F82-85BC-5DBF36AF18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alphaModFix amt="25000"/>
        </a:blip>
        <a:stretch>
          <a:fillRect/>
        </a:stretch>
      </xdr:blipFill>
      <xdr:spPr>
        <a:xfrm>
          <a:off x="2365665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226003</xdr:colOff>
      <xdr:row>0</xdr:row>
      <xdr:rowOff>19050</xdr:rowOff>
    </xdr:from>
    <xdr:to>
      <xdr:col>4</xdr:col>
      <xdr:colOff>1306003</xdr:colOff>
      <xdr:row>2</xdr:row>
      <xdr:rowOff>101850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F0AA2C-FA1E-4C06-BD1F-C08533CA8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alphaModFix/>
        </a:blip>
        <a:stretch>
          <a:fillRect/>
        </a:stretch>
      </xdr:blipFill>
      <xdr:spPr>
        <a:xfrm>
          <a:off x="355022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29441</xdr:colOff>
      <xdr:row>0</xdr:row>
      <xdr:rowOff>19050</xdr:rowOff>
    </xdr:from>
    <xdr:to>
      <xdr:col>5</xdr:col>
      <xdr:colOff>1109441</xdr:colOff>
      <xdr:row>2</xdr:row>
      <xdr:rowOff>101850</xdr:rowOff>
    </xdr:to>
    <xdr:pic>
      <xdr:nvPicPr>
        <xdr:cNvPr id="12" name="Imagem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81D250A-A0F9-406F-8CBB-2C36B39A0A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alphaModFix amt="25000"/>
        </a:blip>
        <a:stretch>
          <a:fillRect/>
        </a:stretch>
      </xdr:blipFill>
      <xdr:spPr>
        <a:xfrm>
          <a:off x="4734791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1214004</xdr:colOff>
      <xdr:row>0</xdr:row>
      <xdr:rowOff>19050</xdr:rowOff>
    </xdr:from>
    <xdr:to>
      <xdr:col>6</xdr:col>
      <xdr:colOff>912879</xdr:colOff>
      <xdr:row>2</xdr:row>
      <xdr:rowOff>101850</xdr:rowOff>
    </xdr:to>
    <xdr:pic>
      <xdr:nvPicPr>
        <xdr:cNvPr id="13" name="Imagem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8F9DFC0-897E-4152-921F-9B7BAB6E98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alphaModFix amt="25000"/>
        </a:blip>
        <a:stretch>
          <a:fillRect/>
        </a:stretch>
      </xdr:blipFill>
      <xdr:spPr>
        <a:xfrm>
          <a:off x="5919354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1017443</xdr:colOff>
      <xdr:row>0</xdr:row>
      <xdr:rowOff>19050</xdr:rowOff>
    </xdr:from>
    <xdr:to>
      <xdr:col>8</xdr:col>
      <xdr:colOff>659168</xdr:colOff>
      <xdr:row>2</xdr:row>
      <xdr:rowOff>101850</xdr:rowOff>
    </xdr:to>
    <xdr:pic>
      <xdr:nvPicPr>
        <xdr:cNvPr id="14" name="Imagem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A798EA-A581-4510-A9B2-95E56A231F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alphaModFix amt="25000"/>
        </a:blip>
        <a:stretch>
          <a:fillRect/>
        </a:stretch>
      </xdr:blipFill>
      <xdr:spPr>
        <a:xfrm>
          <a:off x="710391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432300</xdr:colOff>
      <xdr:row>2</xdr:row>
      <xdr:rowOff>82800</xdr:rowOff>
    </xdr:to>
    <xdr:pic>
      <xdr:nvPicPr>
        <xdr:cNvPr id="15" name="Imagem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6D45818-7389-433E-B7B8-FC7C83396C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80000" cy="54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4</xdr:row>
      <xdr:rowOff>66675</xdr:rowOff>
    </xdr:from>
    <xdr:to>
      <xdr:col>0</xdr:col>
      <xdr:colOff>1053375</xdr:colOff>
      <xdr:row>5</xdr:row>
      <xdr:rowOff>188550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5C940-81EB-49B1-B867-8FC137256D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304800"/>
          <a:ext cx="729525" cy="3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1181100</xdr:colOff>
      <xdr:row>0</xdr:row>
      <xdr:rowOff>19050</xdr:rowOff>
    </xdr:from>
    <xdr:to>
      <xdr:col>1</xdr:col>
      <xdr:colOff>879975</xdr:colOff>
      <xdr:row>2</xdr:row>
      <xdr:rowOff>159000</xdr:rowOff>
    </xdr:to>
    <xdr:pic>
      <xdr:nvPicPr>
        <xdr:cNvPr id="9" name="Imagem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F7A6913-20A3-4819-B0E5-DFD1F8322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alphaModFix amt="25000"/>
        </a:blip>
        <a:stretch>
          <a:fillRect/>
        </a:stretch>
      </xdr:blipFill>
      <xdr:spPr>
        <a:xfrm>
          <a:off x="1181100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984540</xdr:colOff>
      <xdr:row>0</xdr:row>
      <xdr:rowOff>19050</xdr:rowOff>
    </xdr:from>
    <xdr:to>
      <xdr:col>2</xdr:col>
      <xdr:colOff>683415</xdr:colOff>
      <xdr:row>2</xdr:row>
      <xdr:rowOff>159000</xdr:rowOff>
    </xdr:to>
    <xdr:pic>
      <xdr:nvPicPr>
        <xdr:cNvPr id="10" name="Imagem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1CCCB6-6162-4F77-8F5E-647622DAC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alphaModFix amt="25000"/>
        </a:blip>
        <a:stretch>
          <a:fillRect/>
        </a:stretch>
      </xdr:blipFill>
      <xdr:spPr>
        <a:xfrm>
          <a:off x="2365665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787978</xdr:colOff>
      <xdr:row>0</xdr:row>
      <xdr:rowOff>19050</xdr:rowOff>
    </xdr:from>
    <xdr:to>
      <xdr:col>3</xdr:col>
      <xdr:colOff>486853</xdr:colOff>
      <xdr:row>2</xdr:row>
      <xdr:rowOff>159000</xdr:rowOff>
    </xdr:to>
    <xdr:pic>
      <xdr:nvPicPr>
        <xdr:cNvPr id="11" name="Imagem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306AAD5-7461-45DC-95C0-8AB41F6C6D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alphaModFix amt="25000"/>
        </a:blip>
        <a:stretch>
          <a:fillRect/>
        </a:stretch>
      </xdr:blipFill>
      <xdr:spPr>
        <a:xfrm>
          <a:off x="355022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591416</xdr:colOff>
      <xdr:row>0</xdr:row>
      <xdr:rowOff>19050</xdr:rowOff>
    </xdr:from>
    <xdr:to>
      <xdr:col>4</xdr:col>
      <xdr:colOff>290291</xdr:colOff>
      <xdr:row>2</xdr:row>
      <xdr:rowOff>159000</xdr:rowOff>
    </xdr:to>
    <xdr:pic>
      <xdr:nvPicPr>
        <xdr:cNvPr id="12" name="Imagem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C995714-2103-43F9-A028-41AFD5B4F9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alphaModFix/>
        </a:blip>
        <a:stretch>
          <a:fillRect/>
        </a:stretch>
      </xdr:blipFill>
      <xdr:spPr>
        <a:xfrm>
          <a:off x="4734791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394854</xdr:colOff>
      <xdr:row>0</xdr:row>
      <xdr:rowOff>19050</xdr:rowOff>
    </xdr:from>
    <xdr:to>
      <xdr:col>5</xdr:col>
      <xdr:colOff>93729</xdr:colOff>
      <xdr:row>2</xdr:row>
      <xdr:rowOff>159000</xdr:rowOff>
    </xdr:to>
    <xdr:pic>
      <xdr:nvPicPr>
        <xdr:cNvPr id="13" name="Imagem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85B25E2-F706-4242-A939-73E556F215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alphaModFix amt="25000"/>
        </a:blip>
        <a:stretch>
          <a:fillRect/>
        </a:stretch>
      </xdr:blipFill>
      <xdr:spPr>
        <a:xfrm>
          <a:off x="5919354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198293</xdr:colOff>
      <xdr:row>0</xdr:row>
      <xdr:rowOff>19050</xdr:rowOff>
    </xdr:from>
    <xdr:to>
      <xdr:col>5</xdr:col>
      <xdr:colOff>1278293</xdr:colOff>
      <xdr:row>2</xdr:row>
      <xdr:rowOff>159000</xdr:rowOff>
    </xdr:to>
    <xdr:pic>
      <xdr:nvPicPr>
        <xdr:cNvPr id="14" name="Imagem 1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57B0716-F16D-4AF5-9733-E9EB90C6AF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alphaModFix amt="25000"/>
        </a:blip>
        <a:stretch>
          <a:fillRect/>
        </a:stretch>
      </xdr:blipFill>
      <xdr:spPr>
        <a:xfrm>
          <a:off x="710391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2</xdr:row>
      <xdr:rowOff>139950</xdr:rowOff>
    </xdr:to>
    <xdr:pic>
      <xdr:nvPicPr>
        <xdr:cNvPr id="15" name="Imagem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E75C027A-8395-4CA1-A592-7EE2A6283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1080000" cy="54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19050</xdr:rowOff>
    </xdr:from>
    <xdr:to>
      <xdr:col>2</xdr:col>
      <xdr:colOff>956175</xdr:colOff>
      <xdr:row>2</xdr:row>
      <xdr:rowOff>178050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3BA9B6-4F45-4FB5-99CB-E1DFABD8C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alphaModFix amt="25000"/>
        </a:blip>
        <a:stretch>
          <a:fillRect/>
        </a:stretch>
      </xdr:blipFill>
      <xdr:spPr>
        <a:xfrm>
          <a:off x="1181100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1060740</xdr:colOff>
      <xdr:row>0</xdr:row>
      <xdr:rowOff>19050</xdr:rowOff>
    </xdr:from>
    <xdr:to>
      <xdr:col>3</xdr:col>
      <xdr:colOff>759615</xdr:colOff>
      <xdr:row>2</xdr:row>
      <xdr:rowOff>178050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8F7362-69B3-42CE-B63F-C160EC3657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alphaModFix amt="25000"/>
        </a:blip>
        <a:stretch>
          <a:fillRect/>
        </a:stretch>
      </xdr:blipFill>
      <xdr:spPr>
        <a:xfrm>
          <a:off x="2365665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864178</xdr:colOff>
      <xdr:row>0</xdr:row>
      <xdr:rowOff>19050</xdr:rowOff>
    </xdr:from>
    <xdr:to>
      <xdr:col>4</xdr:col>
      <xdr:colOff>896428</xdr:colOff>
      <xdr:row>2</xdr:row>
      <xdr:rowOff>178050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03DB9D9-4D2E-4B4F-9271-3F53C98EF4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alphaModFix amt="25000"/>
        </a:blip>
        <a:stretch>
          <a:fillRect/>
        </a:stretch>
      </xdr:blipFill>
      <xdr:spPr>
        <a:xfrm>
          <a:off x="355022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1000991</xdr:colOff>
      <xdr:row>0</xdr:row>
      <xdr:rowOff>19050</xdr:rowOff>
    </xdr:from>
    <xdr:to>
      <xdr:col>5</xdr:col>
      <xdr:colOff>1033241</xdr:colOff>
      <xdr:row>2</xdr:row>
      <xdr:rowOff>178050</xdr:rowOff>
    </xdr:to>
    <xdr:pic>
      <xdr:nvPicPr>
        <xdr:cNvPr id="12" name="Imagem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63195FB-A4CF-42C0-B5C0-84EFA9B320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alphaModFix amt="25000"/>
        </a:blip>
        <a:stretch>
          <a:fillRect/>
        </a:stretch>
      </xdr:blipFill>
      <xdr:spPr>
        <a:xfrm>
          <a:off x="4734791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7</xdr:col>
      <xdr:colOff>32904</xdr:colOff>
      <xdr:row>0</xdr:row>
      <xdr:rowOff>19050</xdr:rowOff>
    </xdr:from>
    <xdr:to>
      <xdr:col>8</xdr:col>
      <xdr:colOff>65154</xdr:colOff>
      <xdr:row>2</xdr:row>
      <xdr:rowOff>178050</xdr:rowOff>
    </xdr:to>
    <xdr:pic>
      <xdr:nvPicPr>
        <xdr:cNvPr id="13" name="Imagem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1B291D1-D53C-4E5D-A0CD-417FB8FCAD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alphaModFix/>
        </a:blip>
        <a:stretch>
          <a:fillRect/>
        </a:stretch>
      </xdr:blipFill>
      <xdr:spPr>
        <a:xfrm>
          <a:off x="5919354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9</xdr:col>
      <xdr:colOff>55418</xdr:colOff>
      <xdr:row>0</xdr:row>
      <xdr:rowOff>19050</xdr:rowOff>
    </xdr:from>
    <xdr:to>
      <xdr:col>10</xdr:col>
      <xdr:colOff>87668</xdr:colOff>
      <xdr:row>2</xdr:row>
      <xdr:rowOff>178050</xdr:rowOff>
    </xdr:to>
    <xdr:pic>
      <xdr:nvPicPr>
        <xdr:cNvPr id="14" name="Imagem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32F64B4-D0FA-4921-8AB4-EC20FAF9C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alphaModFix amt="25000"/>
        </a:blip>
        <a:stretch>
          <a:fillRect/>
        </a:stretch>
      </xdr:blipFill>
      <xdr:spPr>
        <a:xfrm>
          <a:off x="710391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422775</xdr:colOff>
      <xdr:row>2</xdr:row>
      <xdr:rowOff>159000</xdr:rowOff>
    </xdr:to>
    <xdr:pic>
      <xdr:nvPicPr>
        <xdr:cNvPr id="15" name="Imagem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1869EC6-3776-4AD2-B556-7B227D572C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80000" cy="54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19050</xdr:rowOff>
    </xdr:from>
    <xdr:to>
      <xdr:col>1</xdr:col>
      <xdr:colOff>879975</xdr:colOff>
      <xdr:row>2</xdr:row>
      <xdr:rowOff>159000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70EB63-E098-4870-9C30-CFE70E237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alphaModFix amt="25000"/>
        </a:blip>
        <a:stretch>
          <a:fillRect/>
        </a:stretch>
      </xdr:blipFill>
      <xdr:spPr>
        <a:xfrm>
          <a:off x="1181100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984540</xdr:colOff>
      <xdr:row>0</xdr:row>
      <xdr:rowOff>19050</xdr:rowOff>
    </xdr:from>
    <xdr:to>
      <xdr:col>2</xdr:col>
      <xdr:colOff>473865</xdr:colOff>
      <xdr:row>2</xdr:row>
      <xdr:rowOff>159000</xdr:rowOff>
    </xdr:to>
    <xdr:pic>
      <xdr:nvPicPr>
        <xdr:cNvPr id="10" name="Imagem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E57660E-C5D0-479B-848B-5175DB7F67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alphaModFix amt="25000"/>
        </a:blip>
        <a:stretch>
          <a:fillRect/>
        </a:stretch>
      </xdr:blipFill>
      <xdr:spPr>
        <a:xfrm>
          <a:off x="2365665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578428</xdr:colOff>
      <xdr:row>0</xdr:row>
      <xdr:rowOff>19050</xdr:rowOff>
    </xdr:from>
    <xdr:to>
      <xdr:col>2</xdr:col>
      <xdr:colOff>1658428</xdr:colOff>
      <xdr:row>2</xdr:row>
      <xdr:rowOff>159000</xdr:rowOff>
    </xdr:to>
    <xdr:pic>
      <xdr:nvPicPr>
        <xdr:cNvPr id="11" name="Imagem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6797E19-9A5E-4583-A9E5-C0083CDC94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alphaModFix amt="25000"/>
        </a:blip>
        <a:stretch>
          <a:fillRect/>
        </a:stretch>
      </xdr:blipFill>
      <xdr:spPr>
        <a:xfrm>
          <a:off x="355022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1762991</xdr:colOff>
      <xdr:row>0</xdr:row>
      <xdr:rowOff>19050</xdr:rowOff>
    </xdr:from>
    <xdr:to>
      <xdr:col>3</xdr:col>
      <xdr:colOff>1014191</xdr:colOff>
      <xdr:row>2</xdr:row>
      <xdr:rowOff>159000</xdr:rowOff>
    </xdr:to>
    <xdr:pic>
      <xdr:nvPicPr>
        <xdr:cNvPr id="12" name="Imagem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F3FB3B6-2BFF-475A-995D-6B849D6BC7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alphaModFix amt="25000"/>
        </a:blip>
        <a:stretch>
          <a:fillRect/>
        </a:stretch>
      </xdr:blipFill>
      <xdr:spPr>
        <a:xfrm>
          <a:off x="4734791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1118754</xdr:colOff>
      <xdr:row>0</xdr:row>
      <xdr:rowOff>19050</xdr:rowOff>
    </xdr:from>
    <xdr:to>
      <xdr:col>4</xdr:col>
      <xdr:colOff>379479</xdr:colOff>
      <xdr:row>2</xdr:row>
      <xdr:rowOff>159000</xdr:rowOff>
    </xdr:to>
    <xdr:pic>
      <xdr:nvPicPr>
        <xdr:cNvPr id="13" name="Imagem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19DDC96-8E54-4900-A821-30303B418F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alphaModFix amt="25000"/>
        </a:blip>
        <a:stretch>
          <a:fillRect/>
        </a:stretch>
      </xdr:blipFill>
      <xdr:spPr>
        <a:xfrm>
          <a:off x="5919354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484043</xdr:colOff>
      <xdr:row>0</xdr:row>
      <xdr:rowOff>19050</xdr:rowOff>
    </xdr:from>
    <xdr:to>
      <xdr:col>6</xdr:col>
      <xdr:colOff>49568</xdr:colOff>
      <xdr:row>2</xdr:row>
      <xdr:rowOff>159000</xdr:rowOff>
    </xdr:to>
    <xdr:pic>
      <xdr:nvPicPr>
        <xdr:cNvPr id="14" name="Imagem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A5AE3D9-AA1B-430A-AA1C-A046AAF36C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alphaModFix/>
        </a:blip>
        <a:stretch>
          <a:fillRect/>
        </a:stretch>
      </xdr:blipFill>
      <xdr:spPr>
        <a:xfrm>
          <a:off x="710391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2</xdr:row>
      <xdr:rowOff>139950</xdr:rowOff>
    </xdr:to>
    <xdr:pic>
      <xdr:nvPicPr>
        <xdr:cNvPr id="15" name="Imagem 1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DF27088-4E5C-4173-BC20-C0A812745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80000" cy="54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1181100</xdr:colOff>
      <xdr:row>0</xdr:row>
      <xdr:rowOff>19050</xdr:rowOff>
    </xdr:from>
    <xdr:to>
      <xdr:col>2</xdr:col>
      <xdr:colOff>270375</xdr:colOff>
      <xdr:row>2</xdr:row>
      <xdr:rowOff>178050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BF3A7B-47E2-40E7-93FF-D2A8690E3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alphaModFix amt="25000"/>
        </a:blip>
        <a:stretch>
          <a:fillRect/>
        </a:stretch>
      </xdr:blipFill>
      <xdr:spPr>
        <a:xfrm>
          <a:off x="1181100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374940</xdr:colOff>
      <xdr:row>0</xdr:row>
      <xdr:rowOff>19050</xdr:rowOff>
    </xdr:from>
    <xdr:to>
      <xdr:col>3</xdr:col>
      <xdr:colOff>73815</xdr:colOff>
      <xdr:row>2</xdr:row>
      <xdr:rowOff>178050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A7D963-51AA-40C4-A1EE-4E69942F47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alphaModFix amt="25000"/>
        </a:blip>
        <a:stretch>
          <a:fillRect/>
        </a:stretch>
      </xdr:blipFill>
      <xdr:spPr>
        <a:xfrm>
          <a:off x="2365665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178378</xdr:colOff>
      <xdr:row>0</xdr:row>
      <xdr:rowOff>19050</xdr:rowOff>
    </xdr:from>
    <xdr:to>
      <xdr:col>3</xdr:col>
      <xdr:colOff>1258378</xdr:colOff>
      <xdr:row>2</xdr:row>
      <xdr:rowOff>178050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BFFA65D-1B9D-4A55-89B8-4DF341616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alphaModFix amt="25000"/>
        </a:blip>
        <a:stretch>
          <a:fillRect/>
        </a:stretch>
      </xdr:blipFill>
      <xdr:spPr>
        <a:xfrm>
          <a:off x="355022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1362941</xdr:colOff>
      <xdr:row>0</xdr:row>
      <xdr:rowOff>19050</xdr:rowOff>
    </xdr:from>
    <xdr:to>
      <xdr:col>5</xdr:col>
      <xdr:colOff>175991</xdr:colOff>
      <xdr:row>2</xdr:row>
      <xdr:rowOff>178050</xdr:rowOff>
    </xdr:to>
    <xdr:pic>
      <xdr:nvPicPr>
        <xdr:cNvPr id="6" name="Imagem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0E59237-21FD-4EE0-A576-8BF4AA9FED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alphaModFix amt="25000"/>
        </a:blip>
        <a:stretch>
          <a:fillRect/>
        </a:stretch>
      </xdr:blipFill>
      <xdr:spPr>
        <a:xfrm>
          <a:off x="4734791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5</xdr:col>
      <xdr:colOff>280554</xdr:colOff>
      <xdr:row>0</xdr:row>
      <xdr:rowOff>19050</xdr:rowOff>
    </xdr:from>
    <xdr:to>
      <xdr:col>6</xdr:col>
      <xdr:colOff>589029</xdr:colOff>
      <xdr:row>2</xdr:row>
      <xdr:rowOff>178050</xdr:rowOff>
    </xdr:to>
    <xdr:pic>
      <xdr:nvPicPr>
        <xdr:cNvPr id="7" name="Imagem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1B0FC37-CEB5-4C54-92B9-2C96AA8350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alphaModFix amt="25000"/>
        </a:blip>
        <a:stretch>
          <a:fillRect/>
        </a:stretch>
      </xdr:blipFill>
      <xdr:spPr>
        <a:xfrm>
          <a:off x="5919354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693593</xdr:colOff>
      <xdr:row>0</xdr:row>
      <xdr:rowOff>19050</xdr:rowOff>
    </xdr:from>
    <xdr:to>
      <xdr:col>8</xdr:col>
      <xdr:colOff>278168</xdr:colOff>
      <xdr:row>2</xdr:row>
      <xdr:rowOff>178050</xdr:rowOff>
    </xdr:to>
    <xdr:pic>
      <xdr:nvPicPr>
        <xdr:cNvPr id="8" name="Imagem 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07AE912-9157-4489-8F10-F370C9BFC0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alphaModFix amt="25000"/>
        </a:blip>
        <a:stretch>
          <a:fillRect/>
        </a:stretch>
      </xdr:blipFill>
      <xdr:spPr>
        <a:xfrm>
          <a:off x="7103918" y="19050"/>
          <a:ext cx="1080000" cy="5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1080000</xdr:colOff>
      <xdr:row>2</xdr:row>
      <xdr:rowOff>159000</xdr:rowOff>
    </xdr:to>
    <xdr:pic>
      <xdr:nvPicPr>
        <xdr:cNvPr id="9" name="Imagem 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EF45ED7-CA4E-4903-BF6F-7F89B42265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1080000" cy="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agc\Documents\BASSO\FLUXO%20FINAL\Basso_fluxodecaixa20140131-%20L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iegen1-my.sharepoint.com/personal/erm_siegen_com_br/Documents/&#193;rea%20de%20Trabalho/Planilhas%20Financeir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2j-my.sharepoint.com/Users/bmq/Desktop/TAXAS_ANAND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2j.sharepoint.com/sites/Lumiere/LABOR/00.LABOR/00.04.FINANCEIRO/00.04.05.TAXAS/ALUFORCE_OPERA&#199;&#213;ES%20DE%20FINANCIAMENTO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2j-my.sharepoint.com/Users/bmq/AppData/Local/Microsoft/Windows/INetCache/Content.Outlook/BIXFKPCI/Taxas_LEF_20191230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OVIMENTO "/>
      <sheetName val="SALDOS"/>
      <sheetName val="DIFERENCAS"/>
      <sheetName val="DEZ"/>
      <sheetName val="JAN"/>
      <sheetName val="FLUXO"/>
      <sheetName val="PLANO CONTAS"/>
      <sheetName val="EXTR_FEV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ício"/>
      <sheetName val="Menu"/>
      <sheetName val="JS  VF"/>
      <sheetName val="JS VP"/>
      <sheetName val="JS N"/>
      <sheetName val="JS I"/>
      <sheetName val="DB VF"/>
      <sheetName val="DB VP"/>
      <sheetName val="DB N"/>
      <sheetName val="DB I"/>
      <sheetName val="JC VF"/>
      <sheetName val="JC VP"/>
      <sheetName val="JC N"/>
      <sheetName val="JC I"/>
      <sheetName val="SÉRIE PMT"/>
      <sheetName val="SÉRIE VF"/>
      <sheetName val="SÉRIE VP"/>
      <sheetName val="SÉRIE N"/>
      <sheetName val="SÉRIE I"/>
      <sheetName val="Ser-Price"/>
      <sheetName val="Ser-Sac"/>
      <sheetName val="Não Uniforme"/>
      <sheetName val="T Desiguais"/>
      <sheetName val="Geral"/>
      <sheetName val="Continua"/>
      <sheetName val="MatFinanc"/>
      <sheetName val="Autor"/>
      <sheetName val="OutrasFunç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37">
          <cell r="B37">
            <v>36892</v>
          </cell>
          <cell r="C37">
            <v>37257</v>
          </cell>
        </row>
        <row r="38">
          <cell r="B38">
            <v>36948</v>
          </cell>
          <cell r="C38">
            <v>37298</v>
          </cell>
        </row>
        <row r="39">
          <cell r="B39">
            <v>36949</v>
          </cell>
          <cell r="C39">
            <v>37299</v>
          </cell>
        </row>
        <row r="40">
          <cell r="B40">
            <v>36994</v>
          </cell>
          <cell r="C40">
            <v>37344</v>
          </cell>
        </row>
        <row r="41">
          <cell r="B41">
            <v>37002</v>
          </cell>
          <cell r="C41">
            <v>37367</v>
          </cell>
        </row>
        <row r="42">
          <cell r="B42">
            <v>37012</v>
          </cell>
          <cell r="C42">
            <v>37377</v>
          </cell>
        </row>
        <row r="43">
          <cell r="B43">
            <v>37056</v>
          </cell>
          <cell r="C43">
            <v>37406</v>
          </cell>
        </row>
        <row r="44">
          <cell r="B44">
            <v>37141</v>
          </cell>
          <cell r="C44">
            <v>37506</v>
          </cell>
        </row>
        <row r="45">
          <cell r="B45">
            <v>37176</v>
          </cell>
          <cell r="C45">
            <v>37602</v>
          </cell>
        </row>
        <row r="46">
          <cell r="B46">
            <v>37197</v>
          </cell>
          <cell r="C46">
            <v>37562</v>
          </cell>
        </row>
        <row r="47">
          <cell r="B47">
            <v>37210</v>
          </cell>
          <cell r="C47">
            <v>37575</v>
          </cell>
        </row>
        <row r="48">
          <cell r="B48">
            <v>37250</v>
          </cell>
          <cell r="C48">
            <v>37615</v>
          </cell>
        </row>
      </sheetData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tação (2)"/>
      <sheetName val="Captação (3)"/>
      <sheetName val="Lista"/>
      <sheetName val="TMP RDA"/>
      <sheetName val="Planilha1"/>
      <sheetName val="RECIPROCIDADE"/>
      <sheetName val="TMP"/>
      <sheetName val="TMP EVOL "/>
      <sheetName val="PM"/>
      <sheetName val="BD"/>
      <sheetName val="NOMES INST"/>
      <sheetName val="TMP - REDUÇÃO - VAR Selic"/>
      <sheetName val="TMP EVOL _POSICAO FUNDO"/>
      <sheetName val="TMP EVOL TOTAL"/>
      <sheetName val="TMP EVOL COMISSARIA"/>
      <sheetName val="TMP EVOL DESCONTO"/>
      <sheetName val="TMP EVOL FOMENTO"/>
      <sheetName val="TMP EVOL RISCO SACADO"/>
      <sheetName val="HISTÓRICO CDI"/>
      <sheetName val="TAXAS_ANA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TP OPER"/>
      <sheetName val="BD"/>
      <sheetName val="REPORT"/>
      <sheetName val="SCOPI"/>
      <sheetName val="CAPTACAO"/>
      <sheetName val="TMP"/>
      <sheetName val="BD CG"/>
      <sheetName val="TAXA CG"/>
      <sheetName val="RECIPROCIDADE"/>
      <sheetName val="PM"/>
      <sheetName val="PRE"/>
      <sheetName val="NAO UNIFORME"/>
      <sheetName val="FGI-DAYCOVAL"/>
      <sheetName val="POS"/>
      <sheetName val="PRE-POS"/>
      <sheetName val="CAPTAÇÃO"/>
    </sheetNames>
    <sheetDataSet>
      <sheetData sheetId="0">
        <row r="1">
          <cell r="R1">
            <v>76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PM"/>
      <sheetName val="TMP - REDUÇÃO"/>
      <sheetName val="SCOPI TMP EVOL "/>
      <sheetName val="TMP"/>
      <sheetName val="TMP (2)"/>
      <sheetName val="TMP EVOL"/>
      <sheetName val="TMP EVOL  BANCOS"/>
      <sheetName val="EVOL DESCONTO"/>
      <sheetName val="FOM"/>
      <sheetName val="COBRANÇAS"/>
      <sheetName val="BD"/>
      <sheetName val="CG TAB"/>
      <sheetName val="CG EVOL"/>
      <sheetName val="BD CG"/>
      <sheetName val="CAPTACAO"/>
      <sheetName val="CAPTACAO (2)"/>
      <sheetName val="CAPTACAO Com Mar"/>
      <sheetName val="FCR"/>
      <sheetName val="Taxas_LEF_201912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torolho" refreshedDate="46055.412781597224" createdVersion="8" refreshedVersion="8" minRefreshableVersion="3" recordCount="501" xr:uid="{00000000-000A-0000-FFFF-FFFF0B000000}">
  <cacheSource type="worksheet">
    <worksheetSource name="Tabela4"/>
  </cacheSource>
  <cacheFields count="22">
    <cacheField name="EMPRESA" numFmtId="0">
      <sharedItems/>
    </cacheField>
    <cacheField name="EMISSÃO" numFmtId="14">
      <sharedItems containsSemiMixedTypes="0" containsNonDate="0" containsDate="1" containsString="0" minDate="2025-12-03T00:00:00" maxDate="2026-01-31T00:00:00"/>
    </cacheField>
    <cacheField name="TIPO" numFmtId="0">
      <sharedItems/>
    </cacheField>
    <cacheField name="NFe" numFmtId="0">
      <sharedItems containsMixedTypes="1" containsNumber="1" containsInteger="1" minValue="188" maxValue="4294"/>
    </cacheField>
    <cacheField name="P" numFmtId="49">
      <sharedItems containsBlank="1"/>
    </cacheField>
    <cacheField name="CLIENTE" numFmtId="0">
      <sharedItems/>
    </cacheField>
    <cacheField name="CNPJ" numFmtId="164">
      <sharedItems containsBlank="1" containsMixedTypes="1" containsNumber="1" containsInteger="1" minValue="843474200137" maxValue="71883219000124"/>
    </cacheField>
    <cacheField name="VALOR P" numFmtId="43">
      <sharedItems containsSemiMixedTypes="0" containsString="0" containsNumber="1" minValue="500" maxValue="500000"/>
    </cacheField>
    <cacheField name="VCTO" numFmtId="14">
      <sharedItems containsSemiMixedTypes="0" containsNonDate="0" containsDate="1" containsString="0" minDate="2025-12-21T00:00:00" maxDate="2026-05-11T00:00:00" count="83">
        <d v="2026-01-22T00:00:00"/>
        <d v="2026-01-23T00:00:00"/>
        <d v="2026-01-15T00:00:00"/>
        <d v="2026-01-12T00:00:00"/>
        <d v="2026-01-08T00:00:00"/>
        <d v="2026-01-05T00:00:00"/>
        <d v="2026-01-26T00:00:00"/>
        <d v="2026-01-20T00:00:00"/>
        <d v="2026-01-13T00:00:00"/>
        <d v="2026-01-19T00:00:00"/>
        <d v="2026-01-21T00:00:00"/>
        <d v="2026-01-09T00:00:00"/>
        <d v="2026-01-16T00:00:00"/>
        <d v="2026-02-02T00:00:00"/>
        <d v="2026-02-11T00:00:00"/>
        <d v="2026-02-18T00:00:00"/>
        <d v="2026-02-25T00:00:00"/>
        <d v="2026-02-16T00:00:00"/>
        <d v="2026-01-17T00:00:00"/>
        <d v="2026-02-07T00:00:00"/>
        <d v="2026-02-22T00:00:00"/>
        <d v="2026-03-09T00:00:00"/>
        <d v="2026-02-05T00:00:00"/>
        <d v="2026-02-12T00:00:00"/>
        <d v="2026-02-19T00:00:00"/>
        <d v="2026-02-26T00:00:00"/>
        <d v="2026-03-05T00:00:00"/>
        <d v="2026-01-30T00:00:00"/>
        <d v="2026-02-06T00:00:00"/>
        <d v="2026-02-13T00:00:00"/>
        <d v="2026-02-20T00:00:00"/>
        <d v="2025-12-28T00:00:00"/>
        <d v="2026-02-08T00:00:00"/>
        <d v="2026-03-10T00:00:00"/>
        <d v="2026-02-09T00:00:00"/>
        <d v="2026-02-23T00:00:00"/>
        <d v="2026-02-10T00:00:00"/>
        <d v="2026-02-17T00:00:00"/>
        <d v="2026-02-24T00:00:00"/>
        <d v="2026-03-12T00:00:00"/>
        <d v="2026-03-19T00:00:00"/>
        <d v="2026-03-11T00:00:00"/>
        <d v="2026-03-25T00:00:00"/>
        <d v="2026-03-14T00:00:00"/>
        <d v="2026-01-14T00:00:00"/>
        <d v="2026-03-26T00:00:00"/>
        <d v="2026-02-27T00:00:00"/>
        <d v="2026-03-06T00:00:00"/>
        <d v="2026-03-13T00:00:00"/>
        <d v="2026-03-20T00:00:00"/>
        <d v="2026-03-02T00:00:00"/>
        <d v="2026-03-04T00:00:00"/>
        <d v="2026-03-03T00:00:00"/>
        <d v="2026-03-27T00:00:00"/>
        <d v="2026-04-26T00:00:00"/>
        <d v="2026-03-17T00:00:00"/>
        <d v="2026-03-24T00:00:00"/>
        <d v="2026-01-27T00:00:00"/>
        <d v="2026-03-01T00:00:00"/>
        <d v="2026-03-18T00:00:00"/>
        <d v="2026-03-21T00:00:00"/>
        <d v="2026-04-05T00:00:00"/>
        <d v="2026-03-16T00:00:00"/>
        <d v="2026-04-04T00:00:00"/>
        <d v="2026-03-07T00:00:00"/>
        <d v="2026-04-06T00:00:00"/>
        <d v="2026-03-08T00:00:00"/>
        <d v="2026-04-07T00:00:00"/>
        <d v="2026-05-07T00:00:00"/>
        <d v="2026-03-15T00:00:00"/>
        <d v="2026-04-10T00:00:00"/>
        <d v="2026-04-25T00:00:00"/>
        <d v="2026-05-10T00:00:00"/>
        <d v="2026-03-23T00:00:00"/>
        <d v="2026-03-31T00:00:00"/>
        <d v="2026-01-29T00:00:00"/>
        <d v="2026-01-28T00:00:00"/>
        <d v="2026-01-18T00:00:00"/>
        <d v="2025-12-21T00:00:00"/>
        <d v="2026-04-08T00:00:00"/>
        <d v="2026-04-14T00:00:00"/>
        <d v="2026-03-29T00:00:00"/>
        <d v="2026-04-13T00:00:00"/>
      </sharedItems>
      <fieldGroup par="21"/>
    </cacheField>
    <cacheField name="SITUAÇÃO" numFmtId="14">
      <sharedItems/>
    </cacheField>
    <cacheField name="PORTADOR" numFmtId="0">
      <sharedItems containsBlank="1"/>
    </cacheField>
    <cacheField name="DATA" numFmtId="14">
      <sharedItems containsNonDate="0" containsDate="1" containsString="0" containsBlank="1" minDate="2026-01-05T00:00:00" maxDate="2026-01-31T00:00:00"/>
    </cacheField>
    <cacheField name="STATUS" numFmtId="0">
      <sharedItems count="3">
        <s v="LIQUIDADO"/>
        <s v="VENCIDO"/>
        <s v="A VENCER"/>
      </sharedItems>
    </cacheField>
    <cacheField name="DIAS" numFmtId="171">
      <sharedItems containsSemiMixedTypes="0" containsString="0" containsNumber="1" containsInteger="1" minValue="-43" maxValue="97"/>
    </cacheField>
    <cacheField name="POSIÇÃO" numFmtId="0">
      <sharedItems containsBlank="1"/>
    </cacheField>
    <cacheField name="DATA2" numFmtId="14">
      <sharedItems containsNonDate="0" containsString="0" containsBlank="1"/>
    </cacheField>
    <cacheField name="RECOMPRADO" numFmtId="0">
      <sharedItems containsNonDate="0" containsString="0" containsBlank="1"/>
    </cacheField>
    <cacheField name="DATA3" numFmtId="0">
      <sharedItems containsNonDate="0" containsString="0" containsBlank="1"/>
    </cacheField>
    <cacheField name="CARTORIO" numFmtId="0">
      <sharedItems containsBlank="1"/>
    </cacheField>
    <cacheField name="OBSERVAÇÃO" numFmtId="0">
      <sharedItems containsBlank="1"/>
    </cacheField>
    <cacheField name="Dias (VCTO)" numFmtId="0" databaseField="0">
      <fieldGroup base="8">
        <rangePr groupBy="days" startDate="2025-12-21T00:00:00" endDate="2026-05-11T00:00:00"/>
        <groupItems count="368">
          <s v="&lt;21/12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1/05/2026"/>
        </groupItems>
      </fieldGroup>
    </cacheField>
    <cacheField name="Meses (VCTO)" numFmtId="0" databaseField="0">
      <fieldGroup base="8">
        <rangePr groupBy="months" startDate="2025-12-21T00:00:00" endDate="2026-05-11T00:00:00"/>
        <groupItems count="14">
          <s v="&lt;21/12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1/05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s v="ALUFORCE"/>
    <d v="2025-12-03T00:00:00"/>
    <s v="NF"/>
    <s v="217"/>
    <s v="005"/>
    <s v="CABEDAL  MATERIAIS ELETRICOS LTDA"/>
    <s v="09.232.518/0001-25"/>
    <n v="673.6"/>
    <x v="0"/>
    <s v="OPERADO"/>
    <s v="DEL MONTE"/>
    <m/>
    <x v="0"/>
    <n v="-11"/>
    <s v="LIQUIDADO"/>
    <m/>
    <m/>
    <m/>
    <m/>
    <m/>
  </r>
  <r>
    <s v="ENERGY"/>
    <d v="2025-12-03T00:00:00"/>
    <s v="NF"/>
    <s v="675"/>
    <s v="003"/>
    <s v="ELETRIFICAR COMERCIO DE FERRAGENS FERRAMENTAS E PRODUTOS PA"/>
    <s v="14.650.232/0001-08"/>
    <n v="2661.4"/>
    <x v="1"/>
    <s v="OPERADO"/>
    <s v="DEL MONTE"/>
    <m/>
    <x v="0"/>
    <n v="-10"/>
    <s v="LIQUIDADO"/>
    <m/>
    <m/>
    <m/>
    <m/>
    <m/>
  </r>
  <r>
    <s v="ALUFORCE"/>
    <d v="2025-12-03T00:00:00"/>
    <s v="NF"/>
    <s v="217"/>
    <s v="004"/>
    <s v="CABEDAL  MATERIAIS ELETRICOS LTDA"/>
    <s v="09.232.518/0001-25"/>
    <n v="673.6"/>
    <x v="2"/>
    <s v="OPERADO"/>
    <s v="DEL MONTE"/>
    <m/>
    <x v="0"/>
    <n v="-18"/>
    <s v="LIQUIDADO"/>
    <m/>
    <m/>
    <m/>
    <m/>
    <m/>
  </r>
  <r>
    <s v="ALUFORCE"/>
    <d v="2025-12-03T00:00:00"/>
    <s v="NF"/>
    <s v="218"/>
    <s v="003"/>
    <s v="L P MARINHO MATERIAIS ELETRICOS LTDA"/>
    <s v="36.108.548/0001-05"/>
    <n v="2021.66"/>
    <x v="2"/>
    <s v="OPERADO"/>
    <s v="DEL MONTE"/>
    <m/>
    <x v="0"/>
    <n v="-18"/>
    <s v="LIQUIDADO"/>
    <m/>
    <m/>
    <m/>
    <m/>
    <m/>
  </r>
  <r>
    <s v="ENERGY"/>
    <d v="2025-12-03T00:00:00"/>
    <s v="NF"/>
    <s v="675"/>
    <s v="002"/>
    <s v="ELETRIFICAR COMERCIO DE FERRAGENS FERRAMENTAS E PRODUTOS PA"/>
    <s v="14.650.232/0001-08"/>
    <n v="2661.4"/>
    <x v="3"/>
    <s v="OPERADO"/>
    <s v="DEL MONTE"/>
    <m/>
    <x v="0"/>
    <n v="-21"/>
    <s v="LIQUIDADO"/>
    <m/>
    <m/>
    <m/>
    <m/>
    <m/>
  </r>
  <r>
    <s v="ALUFORCE"/>
    <d v="2025-12-03T00:00:00"/>
    <s v="NF"/>
    <s v="217"/>
    <s v="003"/>
    <s v="CABEDAL  MATERIAIS ELETRICOS LTDA"/>
    <s v="09.232.518/0001-25"/>
    <n v="673.6"/>
    <x v="4"/>
    <s v="OPERADO"/>
    <s v="DEL MONTE"/>
    <m/>
    <x v="0"/>
    <n v="-25"/>
    <s v="LIQUIDADO"/>
    <m/>
    <m/>
    <m/>
    <m/>
    <m/>
  </r>
  <r>
    <s v="ALUFORCE"/>
    <d v="2025-12-03T00:00:00"/>
    <s v="NF"/>
    <s v="218"/>
    <s v="002"/>
    <s v="L P MARINHO MATERIAIS ELETRICOS LTDA"/>
    <s v="36.108.548/0001-05"/>
    <n v="2021.67"/>
    <x v="4"/>
    <s v="OPERADO"/>
    <s v="DEL MONTE"/>
    <m/>
    <x v="0"/>
    <n v="-25"/>
    <s v="LIQUIDADO"/>
    <m/>
    <m/>
    <m/>
    <m/>
    <m/>
  </r>
  <r>
    <s v="ENERGY"/>
    <d v="2025-12-03T00:00:00"/>
    <s v="NF"/>
    <s v="675"/>
    <s v="001"/>
    <s v="ELETRIFICAR COMERCIO DE FERRAGENS FERRAMENTAS E PRODUTOS PA"/>
    <s v="14.650.232/0001-08"/>
    <n v="3466.2"/>
    <x v="5"/>
    <s v="OPERADO"/>
    <s v="DEL MONTE"/>
    <m/>
    <x v="0"/>
    <n v="-28"/>
    <s v="LIQUIDADO"/>
    <m/>
    <m/>
    <m/>
    <m/>
    <m/>
  </r>
  <r>
    <s v="ENERGY"/>
    <d v="2025-12-03T00:00:00"/>
    <s v="NF"/>
    <s v="674"/>
    <s v="001"/>
    <s v="CONSORCIO ALQUES - J.N.R"/>
    <s v="55.060.017/0001-26"/>
    <n v="15000"/>
    <x v="6"/>
    <s v="OPERADO"/>
    <s v="DEL MONTE"/>
    <m/>
    <x v="0"/>
    <n v="-7"/>
    <s v="LIQUIDADO"/>
    <m/>
    <m/>
    <m/>
    <m/>
    <m/>
  </r>
  <r>
    <s v="ALUFORCE"/>
    <d v="2025-12-09T00:00:00"/>
    <s v="NF"/>
    <s v="230"/>
    <s v="003"/>
    <s v="ENERGIZE COMERCIO E SERVICOS DE MATERIAIS ELETRICOS LTDA"/>
    <s v="50.160.305/0001-39"/>
    <n v="701.66"/>
    <x v="7"/>
    <s v="OPERADO"/>
    <s v="DEL MONTE"/>
    <m/>
    <x v="0"/>
    <n v="-13"/>
    <s v="LIQUIDADO"/>
    <m/>
    <m/>
    <m/>
    <m/>
    <m/>
  </r>
  <r>
    <s v="ALUFORCE"/>
    <d v="2025-12-09T00:00:00"/>
    <s v="NF"/>
    <s v="230"/>
    <s v="002"/>
    <s v="ENERGIZE COMERCIO E SERVICOS DE MATERIAIS ELETRICOS LTDA"/>
    <m/>
    <n v="701.67"/>
    <x v="8"/>
    <s v="OPERADO"/>
    <s v="DEL MONTE"/>
    <m/>
    <x v="0"/>
    <n v="-20"/>
    <s v="LIQUIDADO"/>
    <m/>
    <m/>
    <m/>
    <m/>
    <m/>
  </r>
  <r>
    <s v="ALUFORCE"/>
    <d v="2025-12-11T00:00:00"/>
    <s v="NF"/>
    <s v="232"/>
    <s v="003"/>
    <s v="LUZ ATUAL ILUMINACAO LTDA"/>
    <m/>
    <n v="1320"/>
    <x v="0"/>
    <s v="OPERADO"/>
    <s v="DEL MONTE"/>
    <m/>
    <x v="0"/>
    <n v="-11"/>
    <s v="LIQUIDADO"/>
    <m/>
    <m/>
    <m/>
    <m/>
    <m/>
  </r>
  <r>
    <s v="ALUFORCE"/>
    <d v="2025-12-11T00:00:00"/>
    <s v="F9"/>
    <s v="232"/>
    <s v="003"/>
    <s v="LUZ ATUAL ILUMINACAO LTDA"/>
    <m/>
    <n v="1320"/>
    <x v="0"/>
    <s v="OPERADO"/>
    <s v="DEL MONTE"/>
    <m/>
    <x v="0"/>
    <n v="-11"/>
    <s v="LIQUIDADO"/>
    <m/>
    <m/>
    <m/>
    <m/>
    <m/>
  </r>
  <r>
    <s v="ALUFORCE"/>
    <d v="2025-12-11T00:00:00"/>
    <s v="NF"/>
    <s v="233"/>
    <s v="001"/>
    <s v="COMERCIAL MARTINS LTDA"/>
    <m/>
    <n v="1920"/>
    <x v="6"/>
    <s v="OPERADO"/>
    <s v="DEL MONTE"/>
    <m/>
    <x v="0"/>
    <n v="-7"/>
    <s v="LIQUIDADO"/>
    <m/>
    <m/>
    <m/>
    <m/>
    <m/>
  </r>
  <r>
    <s v="ALUFORCE"/>
    <d v="2025-12-11T00:00:00"/>
    <s v="NF"/>
    <s v="234"/>
    <s v="002"/>
    <s v="MNS MOREIRA COMERCIO DE ILUMINACAO LTDA"/>
    <m/>
    <n v="2170"/>
    <x v="9"/>
    <s v="OPERADO"/>
    <s v="DEL MONTE"/>
    <m/>
    <x v="0"/>
    <n v="-14"/>
    <s v="LIQUIDADO"/>
    <m/>
    <m/>
    <m/>
    <m/>
    <m/>
  </r>
  <r>
    <s v="ALUFORCE"/>
    <d v="2025-12-11T00:00:00"/>
    <s v="NF"/>
    <s v="234"/>
    <s v="003"/>
    <s v="MNS MOREIRA COMERCIO DE ILUMINACAO LTDA"/>
    <m/>
    <n v="2170"/>
    <x v="10"/>
    <s v="OPERADO"/>
    <s v="DEL MONTE"/>
    <m/>
    <x v="0"/>
    <n v="-12"/>
    <s v="LIQUIDADO"/>
    <m/>
    <m/>
    <m/>
    <m/>
    <m/>
  </r>
  <r>
    <s v="ALUFORCE"/>
    <d v="2025-12-11T00:00:00"/>
    <s v="NF"/>
    <s v="234"/>
    <s v="001"/>
    <s v="MNS MOREIRA COMERCIO DE ILUMINACAO LTDA"/>
    <m/>
    <n v="2170"/>
    <x v="3"/>
    <s v="OPERADO"/>
    <s v="DEL MONTE"/>
    <m/>
    <x v="0"/>
    <n v="-21"/>
    <s v="LIQUIDADO"/>
    <m/>
    <m/>
    <m/>
    <m/>
    <m/>
  </r>
  <r>
    <s v="ENERGY"/>
    <d v="2025-12-11T00:00:00"/>
    <s v="NF"/>
    <s v="690"/>
    <s v="003"/>
    <s v="M.S. COMERCIO DE MATERIAIS E MANUTENCOES ELETRICAS LTDA"/>
    <s v="04.528.571/0001-54"/>
    <n v="3122.5"/>
    <x v="1"/>
    <s v="OPERADO"/>
    <s v="DEL MONTE"/>
    <m/>
    <x v="0"/>
    <n v="-10"/>
    <s v="LIQUIDADO"/>
    <m/>
    <m/>
    <m/>
    <m/>
    <m/>
  </r>
  <r>
    <s v="ALUFORCE"/>
    <d v="2025-12-11T00:00:00"/>
    <s v="NF"/>
    <s v="232"/>
    <s v="002"/>
    <s v="LUZ ATUAL ILUMINACAO LTDA"/>
    <m/>
    <n v="1320"/>
    <x v="2"/>
    <s v="OPERADO"/>
    <s v="DEL MONTE"/>
    <m/>
    <x v="0"/>
    <n v="-18"/>
    <s v="LIQUIDADO"/>
    <m/>
    <m/>
    <m/>
    <m/>
    <m/>
  </r>
  <r>
    <s v="ENERGY"/>
    <d v="2025-12-11T00:00:00"/>
    <s v="NF"/>
    <s v="690"/>
    <s v="001"/>
    <s v="M.S. COMERCIO DE MATERIAIS E MANUTENCOES ELETRICAS LTDA"/>
    <s v="04.528.571/0001-54"/>
    <n v="3122.5"/>
    <x v="11"/>
    <s v="OPERADO"/>
    <s v="DEL MONTE"/>
    <m/>
    <x v="0"/>
    <n v="-24"/>
    <s v="LIQUIDADO"/>
    <m/>
    <m/>
    <m/>
    <m/>
    <m/>
  </r>
  <r>
    <s v="ALUFORCE"/>
    <d v="2025-12-11T00:00:00"/>
    <s v="NF"/>
    <s v="232"/>
    <s v="001"/>
    <s v="LUZ ATUAL ILUMINACAO LTDA"/>
    <m/>
    <n v="1619.38"/>
    <x v="0"/>
    <s v="OPERADO"/>
    <s v="DEL MONTE"/>
    <m/>
    <x v="0"/>
    <n v="-11"/>
    <s v="LIQUIDADO"/>
    <m/>
    <m/>
    <m/>
    <m/>
    <m/>
  </r>
  <r>
    <s v="ENERGY"/>
    <d v="2025-12-11T00:00:00"/>
    <s v="NF"/>
    <s v="689"/>
    <s v="001"/>
    <s v="SOCIEDADE DE BEBIDAS MALACARNE LTDA"/>
    <s v="91.639.724/0001-35"/>
    <n v="3900"/>
    <x v="8"/>
    <s v="OPERADO"/>
    <s v="DEL MONTE"/>
    <m/>
    <x v="0"/>
    <n v="-20"/>
    <s v="LIQUIDADO"/>
    <m/>
    <m/>
    <m/>
    <m/>
    <m/>
  </r>
  <r>
    <s v="ENERGY"/>
    <d v="2025-12-11T00:00:00"/>
    <s v="NF"/>
    <s v="690"/>
    <s v="002"/>
    <s v="M.S. COMERCIO DE MATERIAIS E MANUTENCOES ELETRICAS LTDA"/>
    <s v="04.528.571/0001-54"/>
    <n v="3122.5"/>
    <x v="12"/>
    <s v="OPERADO"/>
    <s v="DEL MONTE"/>
    <m/>
    <x v="0"/>
    <n v="-17"/>
    <s v="LIQUIDADO"/>
    <m/>
    <m/>
    <m/>
    <m/>
    <m/>
  </r>
  <r>
    <s v="ALUFORCE"/>
    <d v="2025-12-12T00:00:00"/>
    <s v="NF"/>
    <s v="239"/>
    <s v="002"/>
    <s v="FERLIN &amp; ANDRADE MATERIAIS ELETRICOS LTDA"/>
    <m/>
    <n v="1887.96"/>
    <x v="6"/>
    <s v="OPERADO"/>
    <s v="DEL MONTE"/>
    <m/>
    <x v="0"/>
    <n v="-7"/>
    <s v="LIQUIDADO"/>
    <m/>
    <m/>
    <m/>
    <m/>
    <m/>
  </r>
  <r>
    <s v="ALUFORCE"/>
    <d v="2025-12-12T00:00:00"/>
    <s v="NF"/>
    <s v="239"/>
    <s v="001"/>
    <s v="FERLIN &amp; ANDRADE MATERIAIS ELETRICOS LTDA"/>
    <m/>
    <n v="2458.87"/>
    <x v="12"/>
    <s v="OPERADO"/>
    <s v="DEL MONTE"/>
    <m/>
    <x v="0"/>
    <n v="-17"/>
    <s v="LIQUIDADO"/>
    <m/>
    <m/>
    <m/>
    <m/>
    <m/>
  </r>
  <r>
    <s v="ALUFORCE"/>
    <d v="2025-12-18T00:00:00"/>
    <s v="NF"/>
    <s v="255"/>
    <s v="001"/>
    <s v="ILUMINACAO PAULISTANA SPE S/A"/>
    <m/>
    <n v="100000"/>
    <x v="9"/>
    <s v="OPERADO"/>
    <s v="DEL MONTE"/>
    <m/>
    <x v="0"/>
    <n v="-14"/>
    <s v="LIQUIDADO"/>
    <m/>
    <m/>
    <m/>
    <m/>
    <m/>
  </r>
  <r>
    <s v="ENERGY"/>
    <d v="2026-01-05T00:00:00"/>
    <s v="NF"/>
    <n v="676"/>
    <s v="004"/>
    <s v="MCFEE CONSTRUCOES &amp; ELETRIFICACOES L"/>
    <s v="22.991.072/0001-80"/>
    <n v="1962.5"/>
    <x v="6"/>
    <s v="OPERADO"/>
    <s v="FAMA"/>
    <m/>
    <x v="1"/>
    <n v="-7"/>
    <m/>
    <m/>
    <m/>
    <m/>
    <m/>
    <m/>
  </r>
  <r>
    <s v="ENERGY"/>
    <d v="2026-01-05T00:00:00"/>
    <s v="NF"/>
    <n v="699"/>
    <s v="001"/>
    <s v="ALUFORCE"/>
    <s v="68.192.475/0001-60"/>
    <n v="500000"/>
    <x v="13"/>
    <s v="OPERADO"/>
    <s v="FAMA"/>
    <m/>
    <x v="2"/>
    <n v="0"/>
    <m/>
    <m/>
    <m/>
    <m/>
    <m/>
    <m/>
  </r>
  <r>
    <s v="ALUFORCE"/>
    <d v="2026-01-05T00:00:00"/>
    <s v="NF"/>
    <n v="286"/>
    <s v="001"/>
    <s v="CONSORCIO SMART CITY SP"/>
    <s v="51.604.560/0001-96"/>
    <n v="3399"/>
    <x v="14"/>
    <s v="OPERADO"/>
    <s v="FAMA"/>
    <m/>
    <x v="2"/>
    <n v="9"/>
    <m/>
    <m/>
    <m/>
    <m/>
    <m/>
    <m/>
  </r>
  <r>
    <s v="ALUFORCE"/>
    <d v="2026-01-05T00:00:00"/>
    <s v="NF"/>
    <n v="286"/>
    <s v="002"/>
    <s v="CONSORCIO SMART CITY SP"/>
    <s v="51.604.560/0001-96"/>
    <n v="3399"/>
    <x v="15"/>
    <s v="OPERADO"/>
    <s v="FAMA"/>
    <m/>
    <x v="2"/>
    <n v="16"/>
    <m/>
    <m/>
    <m/>
    <m/>
    <m/>
    <m/>
  </r>
  <r>
    <s v="ALUFORCE"/>
    <d v="2026-01-05T00:00:00"/>
    <s v="NF"/>
    <n v="286"/>
    <s v="003"/>
    <s v="CONSORCIO SMART CITY SP"/>
    <s v="51.604.560/0001-96"/>
    <n v="3399"/>
    <x v="16"/>
    <s v="OPERADO"/>
    <s v="FAMA"/>
    <m/>
    <x v="2"/>
    <n v="23"/>
    <m/>
    <m/>
    <m/>
    <m/>
    <m/>
    <m/>
  </r>
  <r>
    <s v="ALUFORCE"/>
    <d v="2026-01-05T00:00:00"/>
    <s v="NF"/>
    <n v="188"/>
    <s v="003"/>
    <s v="EGIDIO amp; CAETANO - EXECUCOES ELETRICA"/>
    <s v="23.899.714/0001-89"/>
    <n v="10432.61"/>
    <x v="17"/>
    <s v="OPERADO"/>
    <s v="FAMA"/>
    <m/>
    <x v="2"/>
    <n v="14"/>
    <m/>
    <m/>
    <m/>
    <m/>
    <m/>
    <m/>
  </r>
  <r>
    <s v="ALUFORCE"/>
    <d v="2026-01-05T00:00:00"/>
    <s v="NF"/>
    <n v="285"/>
    <s v="001"/>
    <s v="ILUMINACAO PAULISTANA SPE S/A"/>
    <s v="29.851.606/0001-12"/>
    <n v="72268.2"/>
    <x v="15"/>
    <s v="OPERADO"/>
    <s v="FAMA"/>
    <m/>
    <x v="2"/>
    <n v="16"/>
    <m/>
    <m/>
    <m/>
    <m/>
    <m/>
    <m/>
  </r>
  <r>
    <s v="ENERGY"/>
    <d v="2025-12-03T00:00:00"/>
    <s v="NF"/>
    <s v="676"/>
    <s v="002"/>
    <s v="MCFEE CONSTRUCOES E ELETRIFICAÇOES LTDA"/>
    <s v="22.991.072/0001-80"/>
    <n v="1962.5"/>
    <x v="3"/>
    <s v="OPERADO"/>
    <s v="FAMA"/>
    <m/>
    <x v="0"/>
    <n v="-21"/>
    <s v="LIQUIDADO"/>
    <m/>
    <m/>
    <m/>
    <m/>
    <m/>
  </r>
  <r>
    <s v="ENERGY"/>
    <d v="2025-12-03T00:00:00"/>
    <s v="NF"/>
    <s v="677"/>
    <s v="002"/>
    <s v="MENG ENGENHARIA COMERCIO E INDUSTRIA LTDA."/>
    <s v="49.670.524/0001-89"/>
    <n v="5850"/>
    <x v="3"/>
    <s v="OPERADO"/>
    <s v="FAMA"/>
    <m/>
    <x v="0"/>
    <n v="-21"/>
    <s v="LIQUIDADO"/>
    <m/>
    <m/>
    <m/>
    <m/>
    <m/>
  </r>
  <r>
    <s v="ENERGY"/>
    <d v="2025-12-03T00:00:00"/>
    <s v="NF"/>
    <s v="676"/>
    <s v="001"/>
    <s v="MCFEE CONSTRUCOES E ELETRIFICAÇOES LTDA"/>
    <s v="22.991.072/0001-80"/>
    <n v="2536.89"/>
    <x v="5"/>
    <s v="OPERADO"/>
    <s v="FAMA"/>
    <m/>
    <x v="0"/>
    <n v="-28"/>
    <s v="LIQUIDADO"/>
    <m/>
    <m/>
    <m/>
    <m/>
    <m/>
  </r>
  <r>
    <s v="ALUFORCE"/>
    <d v="2025-12-03T00:00:00"/>
    <s v="NF"/>
    <s v="217"/>
    <s v="005"/>
    <s v="CABEDAL  MATERIAIS ELETRICOS LTDA"/>
    <s v="09.232.518/0001-25"/>
    <n v="673.6"/>
    <x v="0"/>
    <s v="OPERADO"/>
    <s v="H8"/>
    <m/>
    <x v="0"/>
    <n v="-11"/>
    <s v="LIQUIDADO"/>
    <m/>
    <m/>
    <m/>
    <m/>
    <m/>
  </r>
  <r>
    <s v="ALUFORCE"/>
    <d v="2025-12-03T00:00:00"/>
    <s v="NF"/>
    <s v="217"/>
    <s v="003"/>
    <s v="CABEDAL  MATERIAIS ELETRICOS LTDA"/>
    <s v="09.232.518/0001-25"/>
    <n v="673.6"/>
    <x v="4"/>
    <s v="OPERADO"/>
    <s v="H8"/>
    <m/>
    <x v="0"/>
    <n v="-25"/>
    <s v="LIQUIDADO"/>
    <m/>
    <m/>
    <m/>
    <m/>
    <m/>
  </r>
  <r>
    <s v="ALUFORCE"/>
    <d v="2025-12-03T00:00:00"/>
    <s v="NF"/>
    <s v="217"/>
    <s v="004"/>
    <s v="CABEDAL  MATERIAIS ELETRICOS LTDA"/>
    <s v="09.232.518/0001-25"/>
    <n v="673.6"/>
    <x v="2"/>
    <s v="OPERADO"/>
    <s v="H8"/>
    <m/>
    <x v="0"/>
    <n v="-18"/>
    <s v="LIQUIDADO"/>
    <m/>
    <m/>
    <m/>
    <m/>
    <m/>
  </r>
  <r>
    <s v="ALUFORCE"/>
    <d v="2025-12-03T00:00:00"/>
    <s v="F9"/>
    <s v="220"/>
    <s v="002"/>
    <s v="ELETROREDE LTDA"/>
    <m/>
    <n v="812.03"/>
    <x v="18"/>
    <s v="OPERADO"/>
    <s v="H8"/>
    <m/>
    <x v="0"/>
    <n v="-16"/>
    <s v="LIQUIDADO"/>
    <m/>
    <m/>
    <m/>
    <m/>
    <m/>
  </r>
  <r>
    <s v="ALUFORCE"/>
    <d v="2026-01-05T00:00:00"/>
    <s v="NF"/>
    <n v="264"/>
    <s v="001"/>
    <s v="BRITO AGRO FERRAGENS E MATERIAIS PARA CONSTRUCAO LTDA"/>
    <s v="4.126.717/0001-35"/>
    <n v="5370.5"/>
    <x v="0"/>
    <s v="OPERADO"/>
    <s v="DEL MONTE"/>
    <d v="2026-01-22T00:00:00"/>
    <x v="0"/>
    <n v="-11"/>
    <s v="LIQUIDADO"/>
    <m/>
    <m/>
    <m/>
    <m/>
    <m/>
  </r>
  <r>
    <s v="ALUFORCE"/>
    <d v="2026-01-05T00:00:00"/>
    <s v="NF"/>
    <n v="265"/>
    <s v="001"/>
    <s v="GASPARZINHO DISTRIBUIDORA DE MATERIAIS ELETRICOS LTDA"/>
    <s v="2.042.020/0001-50"/>
    <n v="1250"/>
    <x v="19"/>
    <s v="OPERADO"/>
    <s v="DEL MONTE"/>
    <d v="2026-01-05T00:00:00"/>
    <x v="2"/>
    <n v="5"/>
    <m/>
    <m/>
    <m/>
    <m/>
    <m/>
    <m/>
  </r>
  <r>
    <s v="ALUFORCE"/>
    <d v="2026-01-05T00:00:00"/>
    <s v="NF"/>
    <n v="265"/>
    <s v="002"/>
    <s v="GASPARZINHO DISTRIBUIDORA DE MATERIAIS ELETRICOS LTDA"/>
    <s v="2.042.020/0001-50"/>
    <n v="1250"/>
    <x v="20"/>
    <s v="OPERADO"/>
    <s v="DEL MONTE"/>
    <d v="2026-01-05T00:00:00"/>
    <x v="2"/>
    <n v="20"/>
    <m/>
    <m/>
    <m/>
    <m/>
    <m/>
    <m/>
  </r>
  <r>
    <s v="ALUFORCE"/>
    <d v="2026-01-05T00:00:00"/>
    <s v="NF"/>
    <n v="265"/>
    <s v="003"/>
    <s v="GASPARZINHO DISTRIBUIDORA DE MATERIAIS ELETRICOS LTDA"/>
    <s v="2.042.020/0001-50"/>
    <n v="1250"/>
    <x v="21"/>
    <s v="OPERADO"/>
    <s v="DEL MONTE"/>
    <d v="2026-01-05T00:00:00"/>
    <x v="2"/>
    <n v="35"/>
    <m/>
    <m/>
    <m/>
    <m/>
    <m/>
    <m/>
  </r>
  <r>
    <s v="ALUFORCE"/>
    <d v="2026-01-05T00:00:00"/>
    <s v="F9"/>
    <n v="265"/>
    <s v="001"/>
    <s v="GASPARZINHO DISTRIBUIDORA DE MATERIAIS ELETRICOS LTDA"/>
    <s v="2.042.020/0001-50"/>
    <n v="1250"/>
    <x v="19"/>
    <s v="OPERADO"/>
    <s v="H8"/>
    <d v="2026-01-15T00:00:00"/>
    <x v="2"/>
    <n v="5"/>
    <m/>
    <m/>
    <m/>
    <m/>
    <m/>
    <m/>
  </r>
  <r>
    <s v="ALUFORCE"/>
    <d v="2026-01-05T00:00:00"/>
    <s v="F9"/>
    <n v="265"/>
    <s v="002"/>
    <s v="GASPARZINHO DISTRIBUIDORA DE MATERIAIS ELETRICOS LTDA"/>
    <s v="2.042.020/0001-50"/>
    <n v="1250"/>
    <x v="20"/>
    <s v="OPERADO"/>
    <s v="H8"/>
    <d v="2026-01-15T00:00:00"/>
    <x v="2"/>
    <n v="20"/>
    <m/>
    <m/>
    <m/>
    <m/>
    <m/>
    <m/>
  </r>
  <r>
    <s v="ALUFORCE"/>
    <d v="2026-01-05T00:00:00"/>
    <s v="F9"/>
    <n v="265"/>
    <s v="003"/>
    <s v="GASPARZINHO DISTRIBUIDORA DE MATERIAIS ELETRICOS LTDA"/>
    <s v="2.042.020/0001-50"/>
    <n v="1250"/>
    <x v="21"/>
    <s v="OPERADO"/>
    <s v="H8"/>
    <d v="2026-01-15T00:00:00"/>
    <x v="2"/>
    <n v="35"/>
    <m/>
    <m/>
    <m/>
    <m/>
    <m/>
    <m/>
  </r>
  <r>
    <s v="ALUFORCE"/>
    <d v="2026-01-05T00:00:00"/>
    <s v="NF"/>
    <n v="266"/>
    <s v="001"/>
    <s v="MIKE S. DE OLIVEIRA LTDA"/>
    <s v="55.435.066/0001-04"/>
    <n v="515"/>
    <x v="22"/>
    <s v="OPERADO"/>
    <s v="DEL MONTE"/>
    <d v="2026-01-05T00:00:00"/>
    <x v="2"/>
    <n v="3"/>
    <m/>
    <m/>
    <m/>
    <m/>
    <m/>
    <m/>
  </r>
  <r>
    <s v="ALUFORCE"/>
    <d v="2026-01-05T00:00:00"/>
    <s v="NF"/>
    <n v="266"/>
    <s v="002"/>
    <s v="MIKE S. DE OLIVEIRA LTDA"/>
    <s v="55.435.066/0001-04"/>
    <n v="515"/>
    <x v="23"/>
    <s v="OPERADO"/>
    <s v="DEL MONTE"/>
    <d v="2026-01-05T00:00:00"/>
    <x v="2"/>
    <n v="10"/>
    <m/>
    <m/>
    <m/>
    <m/>
    <m/>
    <m/>
  </r>
  <r>
    <s v="ALUFORCE"/>
    <d v="2026-01-05T00:00:00"/>
    <s v="NF"/>
    <n v="266"/>
    <s v="003"/>
    <s v="MIKE S. DE OLIVEIRA LTDA"/>
    <s v="55.435.066/0001-04"/>
    <n v="515"/>
    <x v="24"/>
    <s v="OPERADO"/>
    <s v="DEL MONTE"/>
    <d v="2026-01-05T00:00:00"/>
    <x v="2"/>
    <n v="17"/>
    <m/>
    <m/>
    <m/>
    <m/>
    <m/>
    <m/>
  </r>
  <r>
    <s v="ALUFORCE"/>
    <d v="2026-01-05T00:00:00"/>
    <s v="NF"/>
    <n v="266"/>
    <s v="004"/>
    <s v="MIKE S. DE OLIVEIRA LTDA"/>
    <s v="55.435.066/0001-04"/>
    <n v="515"/>
    <x v="25"/>
    <s v="OPERADO"/>
    <s v="DEL MONTE"/>
    <d v="2026-01-05T00:00:00"/>
    <x v="2"/>
    <n v="24"/>
    <m/>
    <m/>
    <m/>
    <m/>
    <m/>
    <m/>
  </r>
  <r>
    <s v="ALUFORCE"/>
    <d v="2026-01-05T00:00:00"/>
    <s v="NF"/>
    <n v="266"/>
    <s v="005"/>
    <s v="MIKE S. DE OLIVEIRA LTDA"/>
    <s v="55.435.066/0001-04"/>
    <n v="515"/>
    <x v="26"/>
    <s v="OPERADO"/>
    <s v="DEL MONTE"/>
    <d v="2026-01-05T00:00:00"/>
    <x v="2"/>
    <n v="31"/>
    <m/>
    <m/>
    <m/>
    <m/>
    <m/>
    <m/>
  </r>
  <r>
    <s v="ALUFORCE"/>
    <d v="2026-01-05T00:00:00"/>
    <s v="F9"/>
    <n v="266"/>
    <s v="001"/>
    <s v="MIKE S. DE OLIVEIRA LTDA"/>
    <s v="55.435.066/0001-04"/>
    <n v="515"/>
    <x v="22"/>
    <s v="OPERADO"/>
    <s v="H8"/>
    <d v="2026-01-15T00:00:00"/>
    <x v="2"/>
    <n v="3"/>
    <m/>
    <m/>
    <m/>
    <m/>
    <m/>
    <m/>
  </r>
  <r>
    <s v="ALUFORCE"/>
    <d v="2026-01-05T00:00:00"/>
    <s v="F9"/>
    <n v="266"/>
    <s v="002"/>
    <s v="MIKE S. DE OLIVEIRA LTDA"/>
    <s v="55.435.066/0001-04"/>
    <n v="515"/>
    <x v="23"/>
    <s v="OPERADO"/>
    <s v="H8"/>
    <d v="2026-01-15T00:00:00"/>
    <x v="2"/>
    <n v="10"/>
    <m/>
    <m/>
    <m/>
    <m/>
    <m/>
    <m/>
  </r>
  <r>
    <s v="ALUFORCE"/>
    <d v="2026-01-05T00:00:00"/>
    <s v="F9"/>
    <n v="266"/>
    <s v="003"/>
    <s v="MIKE S. DE OLIVEIRA LTDA"/>
    <s v="55.435.066/0001-04"/>
    <n v="515"/>
    <x v="24"/>
    <s v="OPERADO"/>
    <s v="H8"/>
    <d v="2026-01-15T00:00:00"/>
    <x v="2"/>
    <n v="17"/>
    <m/>
    <m/>
    <m/>
    <m/>
    <m/>
    <m/>
  </r>
  <r>
    <s v="ALUFORCE"/>
    <d v="2026-01-05T00:00:00"/>
    <s v="F9"/>
    <n v="266"/>
    <s v="004"/>
    <s v="MIKE S. DE OLIVEIRA LTDA"/>
    <s v="55.435.066/0001-04"/>
    <n v="515"/>
    <x v="25"/>
    <s v="OPERADO"/>
    <s v="H8"/>
    <d v="2026-01-15T00:00:00"/>
    <x v="2"/>
    <n v="24"/>
    <m/>
    <m/>
    <m/>
    <m/>
    <m/>
    <m/>
  </r>
  <r>
    <s v="ALUFORCE"/>
    <d v="2026-01-05T00:00:00"/>
    <s v="F9"/>
    <n v="266"/>
    <s v="005"/>
    <s v="MIKE S. DE OLIVEIRA LTDA"/>
    <s v="55.435.066/0001-04"/>
    <n v="515"/>
    <x v="26"/>
    <s v="OPERADO"/>
    <s v="H8"/>
    <d v="2026-01-15T00:00:00"/>
    <x v="2"/>
    <n v="31"/>
    <m/>
    <m/>
    <m/>
    <m/>
    <m/>
    <m/>
  </r>
  <r>
    <s v="ALUFORCE"/>
    <d v="2026-01-05T00:00:00"/>
    <s v="NF"/>
    <n v="267"/>
    <s v="001"/>
    <s v="CASA DAS CONEXOES ELETRICOS E HIDRAULICA LTDA"/>
    <s v="21.317.930/0001-43"/>
    <n v="1492.5"/>
    <x v="27"/>
    <s v="OPERADO"/>
    <s v="DEL MONTE"/>
    <d v="2026-01-05T00:00:00"/>
    <x v="1"/>
    <n v="-3"/>
    <m/>
    <m/>
    <m/>
    <m/>
    <m/>
    <m/>
  </r>
  <r>
    <s v="ALUFORCE"/>
    <d v="2026-01-05T00:00:00"/>
    <s v="NF"/>
    <n v="267"/>
    <s v="002"/>
    <s v="CASA DAS CONEXOES ELETRICOS E HIDRAULICA LTDA"/>
    <s v="21.317.930/0001-43"/>
    <n v="1492.5"/>
    <x v="28"/>
    <s v="OPERADO"/>
    <s v="DEL MONTE"/>
    <d v="2026-01-05T00:00:00"/>
    <x v="2"/>
    <n v="4"/>
    <m/>
    <m/>
    <m/>
    <m/>
    <m/>
    <m/>
  </r>
  <r>
    <s v="ALUFORCE"/>
    <d v="2026-01-05T00:00:00"/>
    <s v="NF"/>
    <n v="267"/>
    <s v="003"/>
    <s v="CASA DAS CONEXOES ELETRICOS E HIDRAULICA LTDA"/>
    <s v="21.317.930/0001-43"/>
    <n v="1492.5"/>
    <x v="29"/>
    <s v="OPERADO"/>
    <s v="DEL MONTE"/>
    <d v="2026-01-05T00:00:00"/>
    <x v="2"/>
    <n v="11"/>
    <m/>
    <m/>
    <m/>
    <m/>
    <m/>
    <m/>
  </r>
  <r>
    <s v="ALUFORCE"/>
    <d v="2026-01-05T00:00:00"/>
    <s v="NF"/>
    <n v="267"/>
    <s v="004"/>
    <s v="CASA DAS CONEXOES ELETRICOS E HIDRAULICA LTDA"/>
    <s v="21.317.930/0001-43"/>
    <n v="1492.5"/>
    <x v="30"/>
    <s v="OPERADO"/>
    <s v="DEL MONTE"/>
    <d v="2026-01-05T00:00:00"/>
    <x v="2"/>
    <n v="18"/>
    <m/>
    <m/>
    <m/>
    <m/>
    <m/>
    <m/>
  </r>
  <r>
    <s v="ALUFORCE"/>
    <d v="2026-01-05T00:00:00"/>
    <s v="NF"/>
    <n v="268"/>
    <s v="001"/>
    <s v="ELETRONILDO MATERIAL DE CONSTRUCAO LTDA"/>
    <s v="60.547.637/0001-24"/>
    <n v="1962"/>
    <x v="22"/>
    <s v="OPERADO"/>
    <s v="DEL MONTE"/>
    <d v="2026-01-05T00:00:00"/>
    <x v="2"/>
    <n v="3"/>
    <m/>
    <m/>
    <m/>
    <m/>
    <m/>
    <m/>
  </r>
  <r>
    <s v="ALUFORCE"/>
    <d v="2026-01-05T00:00:00"/>
    <s v="NF"/>
    <n v="268"/>
    <s v="002"/>
    <s v="ELETRONILDO MATERIAL DE CONSTRUCAO LTDA"/>
    <s v="60.547.637/0001-24"/>
    <n v="1962"/>
    <x v="23"/>
    <s v="OPERADO"/>
    <s v="DEL MONTE"/>
    <d v="2026-01-05T00:00:00"/>
    <x v="2"/>
    <n v="10"/>
    <m/>
    <m/>
    <m/>
    <m/>
    <m/>
    <m/>
  </r>
  <r>
    <s v="ALUFORCE"/>
    <d v="2026-01-05T00:00:00"/>
    <s v="NF"/>
    <n v="268"/>
    <s v="003"/>
    <s v="ELETRONILDO MATERIAL DE CONSTRUCAO LTDA"/>
    <s v="60.547.637/0001-24"/>
    <n v="1962"/>
    <x v="24"/>
    <s v="OPERADO"/>
    <s v="DEL MONTE"/>
    <d v="2026-01-05T00:00:00"/>
    <x v="2"/>
    <n v="17"/>
    <m/>
    <m/>
    <m/>
    <m/>
    <m/>
    <m/>
  </r>
  <r>
    <s v="ALUFORCE"/>
    <d v="2026-01-05T00:00:00"/>
    <s v="NF"/>
    <n v="268"/>
    <s v="004"/>
    <s v="ELETRONILDO MATERIAL DE CONSTRUCAO LTDA"/>
    <s v="60.547.637/0001-24"/>
    <n v="1962"/>
    <x v="13"/>
    <s v="OPERADO"/>
    <s v="DEL MONTE"/>
    <d v="2026-01-05T00:00:00"/>
    <x v="2"/>
    <n v="0"/>
    <m/>
    <m/>
    <m/>
    <m/>
    <m/>
    <m/>
  </r>
  <r>
    <s v="ALUFORCE"/>
    <d v="2026-01-05T00:00:00"/>
    <s v="NF"/>
    <n v="268"/>
    <s v="005"/>
    <s v="ELETRONILDO MATERIAL DE CONSTRUCAO LTDA"/>
    <s v="60.547.637/0001-24"/>
    <n v="1962"/>
    <x v="26"/>
    <s v="OPERADO"/>
    <s v="DEL MONTE"/>
    <d v="2026-01-05T00:00:00"/>
    <x v="2"/>
    <n v="31"/>
    <m/>
    <m/>
    <m/>
    <m/>
    <m/>
    <m/>
  </r>
  <r>
    <s v="ALUFORCE"/>
    <d v="2026-01-05T00:00:00"/>
    <s v="NF"/>
    <n v="269"/>
    <s v="001"/>
    <s v="CONSTRUFACIL MATERIAL DE CONSTRUCAO HOMECENTER LTDA"/>
    <s v="07.145.932/0001-71"/>
    <n v="3126.67"/>
    <x v="22"/>
    <s v="OPERADO"/>
    <s v="DEL MONTE"/>
    <d v="2026-01-05T00:00:00"/>
    <x v="2"/>
    <n v="3"/>
    <m/>
    <m/>
    <m/>
    <m/>
    <m/>
    <m/>
  </r>
  <r>
    <s v="ALUFORCE"/>
    <d v="2026-01-05T00:00:00"/>
    <s v="NF"/>
    <n v="269"/>
    <s v="002"/>
    <s v="CONSTRUFACIL MATERIAL DE CONSTRUCAO HOMECENTER LTDA"/>
    <s v="07.145.932/0001-71"/>
    <n v="3126.67"/>
    <x v="23"/>
    <s v="OPERADO"/>
    <s v="DEL MONTE"/>
    <d v="2026-01-05T00:00:00"/>
    <x v="2"/>
    <n v="10"/>
    <m/>
    <m/>
    <m/>
    <m/>
    <m/>
    <m/>
  </r>
  <r>
    <s v="ALUFORCE"/>
    <d v="2026-01-05T00:00:00"/>
    <s v="NF"/>
    <n v="269"/>
    <s v="003"/>
    <s v="CONSTRUFACIL MATERIAL DE CONSTRUCAO HOMECENTER LTDA"/>
    <s v="07.145.932/0001-71"/>
    <n v="3126.67"/>
    <x v="24"/>
    <s v="OPERADO"/>
    <s v="DEL MONTE"/>
    <d v="2026-01-05T00:00:00"/>
    <x v="2"/>
    <n v="17"/>
    <m/>
    <m/>
    <m/>
    <m/>
    <m/>
    <m/>
  </r>
  <r>
    <s v="ALUFORCE"/>
    <d v="2026-01-05T00:00:00"/>
    <s v="F9"/>
    <n v="269"/>
    <s v="001"/>
    <s v="CONSTRUFACIL MATERIAL DE CONSTRUCAO HOMECENTER LTDA"/>
    <s v="07.145.932/0001-71"/>
    <n v="3126.66"/>
    <x v="22"/>
    <s v="OPERADO"/>
    <s v="H8"/>
    <d v="2026-01-15T00:00:00"/>
    <x v="2"/>
    <n v="3"/>
    <m/>
    <m/>
    <m/>
    <m/>
    <m/>
    <m/>
  </r>
  <r>
    <s v="ALUFORCE"/>
    <d v="2026-01-05T00:00:00"/>
    <s v="F9"/>
    <n v="269"/>
    <s v="002"/>
    <s v="CONSTRUFACIL MATERIAL DE CONSTRUCAO HOMECENTER LTDA"/>
    <s v="07.145.932/0001-71"/>
    <n v="3126.67"/>
    <x v="23"/>
    <s v="OPERADO"/>
    <s v="H8"/>
    <d v="2026-01-15T00:00:00"/>
    <x v="2"/>
    <n v="10"/>
    <m/>
    <m/>
    <m/>
    <m/>
    <m/>
    <m/>
  </r>
  <r>
    <s v="ALUFORCE"/>
    <d v="2026-01-05T00:00:00"/>
    <s v="F9"/>
    <n v="269"/>
    <s v="003"/>
    <s v="CONSTRUFACIL MATERIAL DE CONSTRUCAO HOMECENTER LTDA"/>
    <s v="07.145.932/0001-71"/>
    <n v="3126.67"/>
    <x v="24"/>
    <s v="OPERADO"/>
    <s v="H8"/>
    <d v="2026-01-15T00:00:00"/>
    <x v="2"/>
    <n v="17"/>
    <m/>
    <m/>
    <m/>
    <m/>
    <m/>
    <m/>
  </r>
  <r>
    <s v="ALUFORCE"/>
    <d v="2026-01-05T00:00:00"/>
    <s v="NF"/>
    <n v="270"/>
    <s v="001"/>
    <s v="ELETRO MARKS COMERCIO DE MATERIAIS PARA CONSTRUCAO E SERVICOS"/>
    <s v="13.844.828/0001-78"/>
    <n v="2555.83"/>
    <x v="22"/>
    <s v="OPERADO"/>
    <s v="DEL MONTE"/>
    <d v="2026-01-05T00:00:00"/>
    <x v="2"/>
    <n v="3"/>
    <m/>
    <m/>
    <m/>
    <m/>
    <m/>
    <m/>
  </r>
  <r>
    <s v="ALUFORCE"/>
    <d v="2026-01-05T00:00:00"/>
    <s v="NF"/>
    <n v="270"/>
    <s v="002"/>
    <s v="ELETRO MARKS COMERCIO DE MATERIAIS PARA CONSTRUCAO E SERVICOS"/>
    <s v="13.844.828/0001-78"/>
    <n v="2083.33"/>
    <x v="23"/>
    <s v="OPERADO"/>
    <s v="DEL MONTE"/>
    <d v="2026-01-05T00:00:00"/>
    <x v="2"/>
    <n v="10"/>
    <m/>
    <m/>
    <m/>
    <m/>
    <m/>
    <m/>
  </r>
  <r>
    <s v="ALUFORCE"/>
    <d v="2026-01-05T00:00:00"/>
    <s v="NF"/>
    <n v="270"/>
    <s v="003"/>
    <s v="ELETRO MARKS COMERCIO DE MATERIAIS PARA CONSTRUCAO E SERVICOS"/>
    <s v="13.844.828/0001-78"/>
    <n v="2083.33"/>
    <x v="24"/>
    <s v="OPERADO"/>
    <s v="DEL MONTE"/>
    <d v="2026-01-05T00:00:00"/>
    <x v="2"/>
    <n v="17"/>
    <m/>
    <m/>
    <m/>
    <m/>
    <m/>
    <m/>
  </r>
  <r>
    <s v="ALUFORCE"/>
    <d v="2025-12-03T00:00:00"/>
    <s v="NF"/>
    <s v="220"/>
    <s v="002"/>
    <s v="ELETROREDE LTDA"/>
    <m/>
    <n v="756.66"/>
    <x v="18"/>
    <s v="OPERADO"/>
    <s v="H8"/>
    <m/>
    <x v="0"/>
    <n v="-16"/>
    <s v="LIQUIDADO"/>
    <m/>
    <m/>
    <m/>
    <m/>
    <m/>
  </r>
  <r>
    <s v="ALUFORCE"/>
    <d v="2025-12-03T00:00:00"/>
    <s v="NF"/>
    <s v="220"/>
    <s v="001"/>
    <s v="ELETROREDE LTDA"/>
    <m/>
    <n v="812.03"/>
    <x v="31"/>
    <s v="OPERADO"/>
    <s v="H8"/>
    <m/>
    <x v="0"/>
    <n v="-36"/>
    <s v="LIQUIDADO"/>
    <m/>
    <m/>
    <m/>
    <m/>
    <m/>
  </r>
  <r>
    <s v="ALUFORCE"/>
    <d v="2025-12-03T00:00:00"/>
    <s v="F9"/>
    <s v="220"/>
    <s v="001"/>
    <s v="ELETROREDE LTDA"/>
    <m/>
    <n v="756.66"/>
    <x v="31"/>
    <s v="OPERADO"/>
    <s v="H8"/>
    <m/>
    <x v="0"/>
    <n v="-36"/>
    <s v="LIQUIDADO"/>
    <m/>
    <m/>
    <m/>
    <m/>
    <m/>
  </r>
  <r>
    <s v="ALUFORCE"/>
    <d v="2025-12-05T00:00:00"/>
    <s v="NF"/>
    <s v="221"/>
    <s v="002"/>
    <s v="LF ELETRIFICACOES LTDA"/>
    <m/>
    <n v="1685"/>
    <x v="9"/>
    <s v="OPERADO"/>
    <s v="H8"/>
    <m/>
    <x v="0"/>
    <n v="-14"/>
    <s v="LIQUIDADO"/>
    <m/>
    <m/>
    <m/>
    <m/>
    <m/>
  </r>
  <r>
    <s v="ALUFORCE"/>
    <d v="2025-12-05T00:00:00"/>
    <s v="F9"/>
    <s v="221"/>
    <s v="002"/>
    <s v="LF ELETRIFICACOES LTDA"/>
    <m/>
    <n v="1685"/>
    <x v="9"/>
    <s v="OPERADO"/>
    <s v="H8"/>
    <m/>
    <x v="0"/>
    <n v="-14"/>
    <s v="LIQUIDADO"/>
    <m/>
    <m/>
    <m/>
    <m/>
    <m/>
  </r>
  <r>
    <s v="ALUFORCE"/>
    <d v="2025-12-05T00:00:00"/>
    <s v="NF"/>
    <s v="226"/>
    <s v="004"/>
    <s v="COMERCIAL ELETRICA PAPIRO LTDA"/>
    <m/>
    <n v="1094.5"/>
    <x v="9"/>
    <s v="OPERADO"/>
    <s v="H8"/>
    <m/>
    <x v="0"/>
    <n v="-14"/>
    <s v="LIQUIDADO"/>
    <m/>
    <m/>
    <m/>
    <m/>
    <m/>
  </r>
  <r>
    <s v="ALUFORCE"/>
    <d v="2025-12-05T00:00:00"/>
    <s v="NF"/>
    <s v="226"/>
    <s v="005"/>
    <s v="COMERCIAL ELETRICA PAPIRO LTDA"/>
    <m/>
    <n v="1094.5"/>
    <x v="6"/>
    <s v="OPERADO"/>
    <s v="H8"/>
    <m/>
    <x v="0"/>
    <n v="-7"/>
    <s v="LIQUIDADO"/>
    <m/>
    <m/>
    <m/>
    <m/>
    <m/>
  </r>
  <r>
    <s v="ALUFORCE"/>
    <d v="2025-12-05T00:00:00"/>
    <s v="F9"/>
    <s v="226"/>
    <s v="004"/>
    <s v="COMERCIAL ELETRICA PAPIRO LTDA"/>
    <m/>
    <n v="1094.5"/>
    <x v="9"/>
    <s v="OPERADO"/>
    <s v="H8"/>
    <m/>
    <x v="0"/>
    <n v="-14"/>
    <s v="LIQUIDADO"/>
    <m/>
    <m/>
    <m/>
    <m/>
    <m/>
  </r>
  <r>
    <s v="ALUFORCE"/>
    <d v="2025-12-05T00:00:00"/>
    <s v="F9"/>
    <s v="226"/>
    <s v="005"/>
    <s v="COMERCIAL ELETRICA PAPIRO LTDA"/>
    <m/>
    <n v="1094.5"/>
    <x v="6"/>
    <s v="OPERADO"/>
    <s v="H8"/>
    <m/>
    <x v="0"/>
    <n v="-7"/>
    <s v="LIQUIDADO"/>
    <m/>
    <m/>
    <m/>
    <m/>
    <m/>
  </r>
  <r>
    <s v="LABOR"/>
    <d v="2025-12-05T00:00:00"/>
    <s v="NF"/>
    <s v="4269"/>
    <s v="003"/>
    <s v="IM CONDUTORES ELETRICOS LTDA"/>
    <s v="30.525.936/0001-05"/>
    <n v="594.38"/>
    <x v="9"/>
    <s v="OPERADO"/>
    <s v="H8"/>
    <m/>
    <x v="0"/>
    <n v="-14"/>
    <s v="LIQUIDADO"/>
    <m/>
    <m/>
    <m/>
    <m/>
    <m/>
  </r>
  <r>
    <s v="LABOR"/>
    <d v="2025-12-05T00:00:00"/>
    <s v="NF"/>
    <s v="4269"/>
    <s v="004"/>
    <s v="IM CONDUTORES ELETRICOS LTDA"/>
    <s v="30.525.936/0001-05"/>
    <n v="594.36"/>
    <x v="6"/>
    <s v="OPERADO"/>
    <s v="H8"/>
    <m/>
    <x v="0"/>
    <n v="-7"/>
    <s v="LIQUIDADO"/>
    <m/>
    <m/>
    <m/>
    <m/>
    <m/>
  </r>
  <r>
    <s v="LABOR"/>
    <d v="2025-12-05T00:00:00"/>
    <s v="F9"/>
    <s v="4269"/>
    <s v="003"/>
    <s v="IM CONDUTORES ELETRICOS LTDA"/>
    <s v="30.525.936/0001-05"/>
    <n v="594.38"/>
    <x v="9"/>
    <s v="OPERADO"/>
    <s v="H8"/>
    <m/>
    <x v="0"/>
    <n v="-14"/>
    <s v="LIQUIDADO"/>
    <m/>
    <m/>
    <m/>
    <m/>
    <m/>
  </r>
  <r>
    <s v="LABOR"/>
    <d v="2025-12-05T00:00:00"/>
    <s v="F9"/>
    <s v="4269"/>
    <s v="004"/>
    <s v="IM CONDUTORES ELETRICOS LTDA"/>
    <s v="30.525.936/0001-05"/>
    <n v="594.36"/>
    <x v="6"/>
    <s v="OPERADO"/>
    <s v="H8"/>
    <m/>
    <x v="0"/>
    <n v="-7"/>
    <s v="LIQUIDADO"/>
    <m/>
    <m/>
    <m/>
    <m/>
    <m/>
  </r>
  <r>
    <s v="LABOR"/>
    <d v="2025-12-05T00:00:00"/>
    <s v="NF"/>
    <s v="4270"/>
    <s v="003"/>
    <s v="R.A. MATERIAIS ELETRICOS E DECORACOES LTDA"/>
    <s v="12.659.075/0001-68"/>
    <n v="1402"/>
    <x v="9"/>
    <s v="OPERADO"/>
    <s v="H8"/>
    <m/>
    <x v="0"/>
    <n v="-14"/>
    <s v="LIQUIDADO"/>
    <m/>
    <m/>
    <m/>
    <m/>
    <m/>
  </r>
  <r>
    <s v="LABOR"/>
    <d v="2025-12-05T00:00:00"/>
    <s v="NF"/>
    <s v="4270"/>
    <s v="004"/>
    <s v="R.A. MATERIAIS ELETRICOS E DECORACOES LTDA"/>
    <s v="12.659.075/0001-68"/>
    <n v="1402"/>
    <x v="6"/>
    <s v="OPERADO"/>
    <s v="H8"/>
    <m/>
    <x v="0"/>
    <n v="-7"/>
    <s v="LIQUIDADO"/>
    <m/>
    <m/>
    <m/>
    <m/>
    <m/>
  </r>
  <r>
    <s v="LABOR"/>
    <d v="2025-12-05T00:00:00"/>
    <s v="NF"/>
    <s v="4271"/>
    <s v="002"/>
    <s v="R.A. MATERIAIS ELETRICOS E DECORACOES LTDA"/>
    <s v="12.659.075/0001-68"/>
    <n v="2142"/>
    <x v="9"/>
    <s v="OPERADO"/>
    <s v="H8"/>
    <m/>
    <x v="0"/>
    <n v="-14"/>
    <s v="LIQUIDADO"/>
    <m/>
    <m/>
    <m/>
    <m/>
    <m/>
  </r>
  <r>
    <s v="LABOR"/>
    <d v="2025-12-05T00:00:00"/>
    <s v="NF"/>
    <s v="4271"/>
    <s v="003"/>
    <s v="R.A. MATERIAIS ELETRICOS E DECORACOES LTDA"/>
    <s v="12.659.075/0001-68"/>
    <n v="2142"/>
    <x v="6"/>
    <s v="OPERADO"/>
    <s v="H8"/>
    <m/>
    <x v="0"/>
    <n v="-7"/>
    <s v="LIQUIDADO"/>
    <m/>
    <m/>
    <m/>
    <m/>
    <m/>
  </r>
  <r>
    <s v="ALUFORCE"/>
    <d v="2025-12-05T00:00:00"/>
    <s v="NF"/>
    <s v="221"/>
    <s v="002"/>
    <s v="LF ELETRIFICACOES LTDA"/>
    <m/>
    <n v="1685"/>
    <x v="3"/>
    <s v="OPERADO"/>
    <s v="H8"/>
    <m/>
    <x v="0"/>
    <n v="-21"/>
    <s v="LIQUIDADO"/>
    <m/>
    <m/>
    <m/>
    <m/>
    <m/>
  </r>
  <r>
    <s v="ALUFORCE"/>
    <d v="2026-01-06T00:00:00"/>
    <s v="NF"/>
    <n v="271"/>
    <s v="006"/>
    <s v="FABIANO VENTURELLI TREVISO"/>
    <s v="01.044.856/0001-21"/>
    <n v="991.63"/>
    <x v="22"/>
    <s v="OPERADO"/>
    <s v="VALE RIO CLARO"/>
    <d v="2026-01-07T00:00:00"/>
    <x v="2"/>
    <n v="3"/>
    <m/>
    <m/>
    <m/>
    <m/>
    <m/>
    <m/>
  </r>
  <r>
    <s v="ALUFORCE"/>
    <d v="2026-01-06T00:00:00"/>
    <s v="NF"/>
    <n v="271"/>
    <s v="002"/>
    <s v="FABIANO VENTURELLI TREVISO"/>
    <s v="01.044.856/0001-21"/>
    <n v="808.31"/>
    <x v="23"/>
    <s v="OPERADO"/>
    <s v="VALE RIO CLARO"/>
    <d v="2026-01-07T00:00:00"/>
    <x v="2"/>
    <n v="10"/>
    <m/>
    <m/>
    <m/>
    <m/>
    <m/>
    <m/>
  </r>
  <r>
    <s v="ALUFORCE"/>
    <d v="2026-01-06T00:00:00"/>
    <s v="NF"/>
    <n v="271"/>
    <s v="003"/>
    <s v="FABIANO VENTURELLI TREVISO"/>
    <s v="01.044.856/0001-21"/>
    <n v="808.3"/>
    <x v="24"/>
    <s v="OPERADO"/>
    <s v="VALE RIO CLARO"/>
    <d v="2026-01-07T00:00:00"/>
    <x v="2"/>
    <n v="17"/>
    <m/>
    <m/>
    <m/>
    <m/>
    <m/>
    <m/>
  </r>
  <r>
    <s v="ALUFORCE"/>
    <d v="2026-01-06T00:00:00"/>
    <s v="F9"/>
    <n v="271"/>
    <s v="001"/>
    <s v="FABIANO VENTURELLI TREVISO"/>
    <s v="01.044.856/0001-21"/>
    <n v="808.31"/>
    <x v="22"/>
    <s v="OPERADO"/>
    <s v="H8"/>
    <d v="2026-01-15T00:00:00"/>
    <x v="2"/>
    <n v="3"/>
    <m/>
    <m/>
    <m/>
    <m/>
    <m/>
    <m/>
  </r>
  <r>
    <s v="ALUFORCE"/>
    <d v="2026-01-06T00:00:00"/>
    <s v="F9"/>
    <n v="271"/>
    <s v="002"/>
    <s v="FABIANO VENTURELLI TREVISO"/>
    <s v="01.044.856/0001-21"/>
    <n v="808.31"/>
    <x v="23"/>
    <s v="OPERADO"/>
    <s v="H8"/>
    <d v="2026-01-15T00:00:00"/>
    <x v="2"/>
    <n v="10"/>
    <m/>
    <m/>
    <m/>
    <m/>
    <m/>
    <m/>
  </r>
  <r>
    <s v="ALUFORCE"/>
    <d v="2026-01-06T00:00:00"/>
    <s v="F9"/>
    <n v="271"/>
    <s v="003"/>
    <s v="FABIANO VENTURELLI TREVISO"/>
    <s v="01.044.856/0001-21"/>
    <n v="808.3"/>
    <x v="24"/>
    <s v="OPERADO"/>
    <s v="H8"/>
    <d v="2026-01-15T00:00:00"/>
    <x v="2"/>
    <n v="17"/>
    <m/>
    <m/>
    <m/>
    <m/>
    <m/>
    <m/>
  </r>
  <r>
    <s v="ALUFORCE"/>
    <d v="2026-01-06T00:00:00"/>
    <s v="NF"/>
    <n v="4287"/>
    <s v="001"/>
    <s v="RDM CAPINAS COMERCIO DE MATERIAIS ELETRICOS LTDA"/>
    <s v="40.919.972/0001-07"/>
    <n v="1456.24"/>
    <x v="22"/>
    <s v="OPERADO"/>
    <s v="VALE RIO CLARO"/>
    <d v="2026-01-07T00:00:00"/>
    <x v="2"/>
    <n v="3"/>
    <m/>
    <m/>
    <m/>
    <m/>
    <m/>
    <m/>
  </r>
  <r>
    <s v="ALUFORCE"/>
    <d v="2026-01-06T00:00:00"/>
    <s v="NF"/>
    <n v="4287"/>
    <s v="002"/>
    <s v="RDM CAPINAS COMERCIO DE MATERIAIS ELETRICOS LTDA"/>
    <s v="40.919.972/0001-07"/>
    <n v="1187.04"/>
    <x v="24"/>
    <s v="OPERADO"/>
    <s v="VALE RIO CLARO"/>
    <d v="2026-01-07T00:00:00"/>
    <x v="2"/>
    <n v="17"/>
    <m/>
    <m/>
    <m/>
    <m/>
    <m/>
    <m/>
  </r>
  <r>
    <s v="ALUFORCE"/>
    <d v="2026-01-06T00:00:00"/>
    <s v="NF"/>
    <n v="4287"/>
    <s v="003"/>
    <s v="RDM CAPINAS COMERCIO DE MATERIAIS ELETRICOS LTDA"/>
    <s v="40.919.972/0001-07"/>
    <n v="1187.03"/>
    <x v="26"/>
    <s v="OPERADO"/>
    <s v="VALE RIO CLARO"/>
    <d v="2026-01-07T00:00:00"/>
    <x v="2"/>
    <n v="31"/>
    <m/>
    <m/>
    <m/>
    <m/>
    <m/>
    <m/>
  </r>
  <r>
    <s v="ALUFORCE"/>
    <d v="2026-01-09T00:00:00"/>
    <s v="NF"/>
    <n v="272"/>
    <s v="001"/>
    <s v="ILUMINACAO PAULISTANA SPE S/A "/>
    <s v="29.851.606/0001-12"/>
    <n v="86080"/>
    <x v="14"/>
    <s v="OPERADO"/>
    <s v="DEL MONTE"/>
    <d v="2026-01-09T00:00:00"/>
    <x v="2"/>
    <n v="9"/>
    <m/>
    <m/>
    <m/>
    <m/>
    <m/>
    <m/>
  </r>
  <r>
    <s v="ALUFORCE"/>
    <d v="2026-01-09T00:00:00"/>
    <s v="NF"/>
    <n v="273"/>
    <s v="001"/>
    <s v="PRISMA COMERCIO E CONSTRUCAO LTDA"/>
    <s v="29.851.606/0001-12"/>
    <n v="1333.33"/>
    <x v="11"/>
    <s v="CARTEIRA"/>
    <s v="ALUFORCE"/>
    <m/>
    <x v="1"/>
    <n v="-24"/>
    <m/>
    <m/>
    <m/>
    <m/>
    <m/>
    <m/>
  </r>
  <r>
    <s v="ALUFORCE"/>
    <d v="2026-01-09T00:00:00"/>
    <s v="NF"/>
    <n v="273"/>
    <s v="002"/>
    <s v="PRISMA COMERCIO E CONSTRUCAO LTDA"/>
    <s v="29.851.606/0001-12"/>
    <n v="1333.33"/>
    <x v="32"/>
    <s v="OPERADO"/>
    <s v="VALE RIO CLARO"/>
    <d v="2026-01-12T00:00:00"/>
    <x v="2"/>
    <n v="6"/>
    <m/>
    <m/>
    <m/>
    <m/>
    <m/>
    <m/>
  </r>
  <r>
    <s v="ALUFORCE"/>
    <d v="2026-01-09T00:00:00"/>
    <s v="NF"/>
    <n v="273"/>
    <s v="003"/>
    <s v="PRISMA COMERCIO E CONSTRUCAO LTDA"/>
    <s v="29.851.606/0001-12"/>
    <n v="1333.34"/>
    <x v="33"/>
    <s v="OPERADO"/>
    <s v="VALE RIO CLARO"/>
    <d v="2026-01-12T00:00:00"/>
    <x v="2"/>
    <n v="36"/>
    <m/>
    <m/>
    <m/>
    <m/>
    <m/>
    <m/>
  </r>
  <r>
    <s v="ALUFORCE"/>
    <d v="2026-01-09T00:00:00"/>
    <s v="NF"/>
    <n v="274"/>
    <s v="001"/>
    <s v="GASPARZINHO DISTRIBUIDORA DE MATERIAIS ELETRICOS LTDA"/>
    <s v="02.042.020/0001-50"/>
    <n v="760"/>
    <x v="34"/>
    <s v="OPERADO"/>
    <s v="DEL MONTE"/>
    <d v="2026-01-09T00:00:00"/>
    <x v="2"/>
    <n v="7"/>
    <m/>
    <m/>
    <m/>
    <m/>
    <m/>
    <m/>
  </r>
  <r>
    <s v="ALUFORCE"/>
    <d v="2026-01-09T00:00:00"/>
    <s v="NF"/>
    <n v="274"/>
    <s v="002"/>
    <s v="GASPARZINHO DISTRIBUIDORA DE MATERIAIS ELETRICOS LTDA"/>
    <s v="02.042.020/0001-50"/>
    <n v="760"/>
    <x v="17"/>
    <s v="OPERADO"/>
    <s v="DEL MONTE"/>
    <d v="2026-01-09T00:00:00"/>
    <x v="2"/>
    <n v="14"/>
    <m/>
    <m/>
    <m/>
    <m/>
    <m/>
    <m/>
  </r>
  <r>
    <s v="ALUFORCE"/>
    <d v="2026-01-09T00:00:00"/>
    <s v="NF"/>
    <n v="274"/>
    <s v="003"/>
    <s v="GASPARZINHO DISTRIBUIDORA DE MATERIAIS ELETRICOS LTDA"/>
    <s v="02.042.020/0001-50"/>
    <n v="760"/>
    <x v="35"/>
    <s v="OPERADO"/>
    <s v="DEL MONTE"/>
    <d v="2026-01-09T00:00:00"/>
    <x v="2"/>
    <n v="21"/>
    <m/>
    <m/>
    <m/>
    <m/>
    <m/>
    <m/>
  </r>
  <r>
    <s v="ALUFORCE"/>
    <d v="2026-01-09T00:00:00"/>
    <s v="F9"/>
    <n v="274"/>
    <s v="001"/>
    <s v="GASPARZINHO DISTRIBUIDORA DE MATERIAIS ELETRICOS LTDA"/>
    <s v="02.042.020/0001-50"/>
    <n v="760"/>
    <x v="34"/>
    <s v="OPERADO"/>
    <s v="H8"/>
    <d v="2026-01-15T00:00:00"/>
    <x v="2"/>
    <n v="7"/>
    <m/>
    <m/>
    <m/>
    <m/>
    <m/>
    <m/>
  </r>
  <r>
    <s v="ALUFORCE"/>
    <d v="2026-01-09T00:00:00"/>
    <s v="F9"/>
    <n v="274"/>
    <s v="002"/>
    <s v="GASPARZINHO DISTRIBUIDORA DE MATERIAIS ELETRICOS LTDA"/>
    <s v="02.042.020/0001-50"/>
    <n v="760"/>
    <x v="17"/>
    <s v="OPERADO"/>
    <s v="H8"/>
    <d v="2026-01-15T00:00:00"/>
    <x v="2"/>
    <n v="14"/>
    <m/>
    <m/>
    <m/>
    <m/>
    <m/>
    <m/>
  </r>
  <r>
    <s v="ALUFORCE"/>
    <d v="2026-01-09T00:00:00"/>
    <s v="F9"/>
    <n v="274"/>
    <s v="003"/>
    <s v="GASPARZINHO DISTRIBUIDORA DE MATERIAIS ELETRICOS LTDA"/>
    <s v="02.042.020/0001-50"/>
    <n v="760"/>
    <x v="35"/>
    <s v="OPERADO"/>
    <s v="H8"/>
    <d v="2026-01-15T00:00:00"/>
    <x v="2"/>
    <n v="21"/>
    <m/>
    <m/>
    <m/>
    <m/>
    <m/>
    <m/>
  </r>
  <r>
    <s v="ALUFORCE"/>
    <d v="2026-01-09T00:00:00"/>
    <s v="NF"/>
    <n v="275"/>
    <s v="001"/>
    <s v="COMERCIAL RURAL XINGU LTDA"/>
    <s v="12.524.415/0001-43"/>
    <n v="1326.67"/>
    <x v="36"/>
    <s v="OPERADO"/>
    <s v="DEL MONTE"/>
    <d v="2026-01-09T00:00:00"/>
    <x v="2"/>
    <n v="8"/>
    <m/>
    <m/>
    <m/>
    <m/>
    <m/>
    <m/>
  </r>
  <r>
    <s v="ALUFORCE"/>
    <d v="2026-01-09T00:00:00"/>
    <s v="NF"/>
    <n v="275"/>
    <s v="002"/>
    <s v="COMERCIAL RURAL XINGU LTDA"/>
    <s v="12.524.415/0001-43"/>
    <n v="1326.67"/>
    <x v="37"/>
    <s v="OPERADO"/>
    <s v="DEL MONTE"/>
    <d v="2026-01-09T00:00:00"/>
    <x v="2"/>
    <n v="15"/>
    <m/>
    <m/>
    <m/>
    <m/>
    <m/>
    <m/>
  </r>
  <r>
    <s v="ALUFORCE"/>
    <d v="2026-01-09T00:00:00"/>
    <s v="NF"/>
    <n v="275"/>
    <s v="003"/>
    <s v="COMERCIAL RURAL XINGU LTDA"/>
    <s v="12.524.415/0001-43"/>
    <n v="1326.66"/>
    <x v="38"/>
    <s v="OPERADO"/>
    <s v="DEL MONTE"/>
    <d v="2026-01-09T00:00:00"/>
    <x v="2"/>
    <n v="22"/>
    <m/>
    <m/>
    <m/>
    <m/>
    <m/>
    <m/>
  </r>
  <r>
    <s v="ALUFORCE"/>
    <d v="2026-01-09T00:00:00"/>
    <s v="NF"/>
    <n v="276"/>
    <s v="001"/>
    <s v="ELETRO CABRAL COMERCIO E SERVICOS DE MATERIAIS ELETRICOS LTDA"/>
    <s v="12.524.415/0001-43"/>
    <n v="1561.66"/>
    <x v="14"/>
    <s v="OPERADO"/>
    <s v="DEL MONTE"/>
    <d v="2026-01-09T00:00:00"/>
    <x v="2"/>
    <n v="9"/>
    <m/>
    <m/>
    <m/>
    <m/>
    <m/>
    <m/>
  </r>
  <r>
    <s v="ALUFORCE"/>
    <d v="2026-01-09T00:00:00"/>
    <s v="NF"/>
    <n v="276"/>
    <s v="002"/>
    <s v="ELETRO CABRAL COMERCIO E SERVICOS DE MATERIAIS ELETRICOS LTDA"/>
    <s v="12.524.415/0001-43"/>
    <n v="1561.67"/>
    <x v="15"/>
    <s v="OPERADO"/>
    <s v="DEL MONTE"/>
    <d v="2026-01-09T00:00:00"/>
    <x v="2"/>
    <n v="16"/>
    <m/>
    <m/>
    <m/>
    <m/>
    <m/>
    <m/>
  </r>
  <r>
    <s v="ALUFORCE"/>
    <d v="2026-01-09T00:00:00"/>
    <s v="NF"/>
    <n v="276"/>
    <s v="003"/>
    <s v="ELETRO CABRAL COMERCIO E SERVICOS DE MATERIAIS ELETRICOS LTDA"/>
    <s v="12.524.415/0001-43"/>
    <n v="1561.67"/>
    <x v="16"/>
    <s v="OPERADO"/>
    <s v="DEL MONTE"/>
    <d v="2026-01-09T00:00:00"/>
    <x v="2"/>
    <n v="23"/>
    <m/>
    <m/>
    <m/>
    <m/>
    <m/>
    <m/>
  </r>
  <r>
    <s v="ALUFORCE"/>
    <d v="2026-01-09T00:00:00"/>
    <s v="F9"/>
    <n v="276"/>
    <s v="001"/>
    <s v="ELETRO CABRAL COMERCIO E SERVICOS DE MATERIAIS ELETRICOS LTDA"/>
    <s v="25.967.193/0001-85"/>
    <n v="1561.66"/>
    <x v="14"/>
    <s v="OPERADO"/>
    <s v="H8"/>
    <d v="2026-01-15T00:00:00"/>
    <x v="2"/>
    <n v="9"/>
    <m/>
    <m/>
    <m/>
    <m/>
    <m/>
    <m/>
  </r>
  <r>
    <s v="ALUFORCE"/>
    <d v="2026-01-09T00:00:00"/>
    <s v="F9"/>
    <n v="276"/>
    <s v="002"/>
    <s v="ELETRO CABRAL COMERCIO E SERVICOS DE MATERIAIS ELETRICOS LTDA"/>
    <s v="25.967.193/0001-85"/>
    <n v="1561.67"/>
    <x v="15"/>
    <s v="OPERADO"/>
    <s v="H8"/>
    <d v="2026-01-15T00:00:00"/>
    <x v="2"/>
    <n v="16"/>
    <m/>
    <m/>
    <m/>
    <m/>
    <m/>
    <m/>
  </r>
  <r>
    <s v="ALUFORCE"/>
    <d v="2026-01-09T00:00:00"/>
    <s v="F9"/>
    <n v="276"/>
    <s v="003"/>
    <s v="ELETRO CABRAL COMERCIO E SERVICOS DE MATERIAIS ELETRICOS LTDA"/>
    <s v="25.967.193/0001-85"/>
    <n v="1561.67"/>
    <x v="16"/>
    <s v="OPERADO"/>
    <s v="H8"/>
    <d v="2026-01-15T00:00:00"/>
    <x v="2"/>
    <n v="23"/>
    <m/>
    <m/>
    <m/>
    <m/>
    <m/>
    <m/>
  </r>
  <r>
    <s v="ALUFORCE"/>
    <d v="2026-01-09T00:00:00"/>
    <s v="NF"/>
    <n v="277"/>
    <s v="001"/>
    <s v="DME DISTRIBUIDORA DE MATERIAIS ELETRICOS LTDA"/>
    <s v="21.826.291/0001-41"/>
    <n v="1454.7"/>
    <x v="23"/>
    <s v="OPERADO"/>
    <s v="DEL MONTE"/>
    <d v="2026-01-09T00:00:00"/>
    <x v="2"/>
    <n v="10"/>
    <m/>
    <m/>
    <m/>
    <m/>
    <m/>
    <m/>
  </r>
  <r>
    <s v="ALUFORCE"/>
    <d v="2026-01-09T00:00:00"/>
    <s v="NF"/>
    <n v="277"/>
    <s v="002"/>
    <s v="DME DISTRIBUIDORA DE MATERIAIS ELETRICOS LTDA"/>
    <s v="21.826.291/0001-41"/>
    <n v="1454.7"/>
    <x v="24"/>
    <s v="OPERADO"/>
    <s v="DEL MONTE"/>
    <d v="2026-01-09T00:00:00"/>
    <x v="2"/>
    <n v="17"/>
    <m/>
    <m/>
    <m/>
    <m/>
    <m/>
    <m/>
  </r>
  <r>
    <s v="ALUFORCE"/>
    <d v="2026-01-09T00:00:00"/>
    <s v="NF"/>
    <n v="277"/>
    <s v="003"/>
    <s v="DME DISTRIBUIDORA DE MATERIAIS ELETRICOS LTDA"/>
    <s v="21.826.291/0001-41"/>
    <n v="1454.7"/>
    <x v="25"/>
    <s v="OPERADO"/>
    <s v="DEL MONTE"/>
    <d v="2026-01-09T00:00:00"/>
    <x v="2"/>
    <n v="24"/>
    <m/>
    <m/>
    <m/>
    <m/>
    <m/>
    <m/>
  </r>
  <r>
    <s v="ALUFORCE"/>
    <d v="2026-01-09T00:00:00"/>
    <s v="NF"/>
    <n v="277"/>
    <s v="004"/>
    <s v="DME DISTRIBUIDORA DE MATERIAIS ELETRICOS LTDA"/>
    <s v="21.826.291/0001-41"/>
    <n v="1454.7"/>
    <x v="26"/>
    <s v="OPERADO"/>
    <s v="DEL MONTE"/>
    <d v="2026-01-09T00:00:00"/>
    <x v="2"/>
    <n v="31"/>
    <m/>
    <m/>
    <m/>
    <m/>
    <m/>
    <m/>
  </r>
  <r>
    <s v="ALUFORCE"/>
    <d v="2026-01-09T00:00:00"/>
    <s v="NF"/>
    <n v="277"/>
    <s v="005"/>
    <s v="DME DISTRIBUIDORA DE MATERIAIS ELETRICOS LTDA"/>
    <s v="21.826.291/0001-41"/>
    <n v="1454.7"/>
    <x v="39"/>
    <s v="OPERADO"/>
    <s v="DEL MONTE"/>
    <d v="2026-01-09T00:00:00"/>
    <x v="2"/>
    <n v="38"/>
    <m/>
    <m/>
    <m/>
    <m/>
    <m/>
    <m/>
  </r>
  <r>
    <s v="ALUFORCE"/>
    <d v="2026-01-09T00:00:00"/>
    <s v="NF"/>
    <n v="277"/>
    <s v="006"/>
    <s v="DME DISTRIBUIDORA DE MATERIAIS ELETRICOS LTDA"/>
    <s v="21.826.291/0001-41"/>
    <n v="1454.7"/>
    <x v="40"/>
    <s v="OPERADO"/>
    <s v="DEL MONTE"/>
    <d v="2026-01-09T00:00:00"/>
    <x v="2"/>
    <n v="45"/>
    <m/>
    <m/>
    <m/>
    <m/>
    <m/>
    <m/>
  </r>
  <r>
    <s v="ALUFORCE"/>
    <d v="2026-01-09T00:00:00"/>
    <s v="NF"/>
    <n v="277"/>
    <s v="001"/>
    <s v="DME DISTRIBUIDORA DE MATERIAIS ELETRICOS LTDA"/>
    <s v="21.826.291/0001-41"/>
    <n v="20365.8"/>
    <x v="11"/>
    <s v="OPERADO"/>
    <s v="DEL MONTE"/>
    <m/>
    <x v="1"/>
    <n v="-24"/>
    <m/>
    <m/>
    <m/>
    <m/>
    <m/>
    <m/>
  </r>
  <r>
    <s v="ALUFORCE"/>
    <d v="2026-01-09T00:00:00"/>
    <s v="NF"/>
    <n v="278"/>
    <s v="001"/>
    <s v="BARRA MANSA COMERCIO E REPRESENTACAO LTDA"/>
    <s v="30.126.357/0001-81"/>
    <n v="7401.25"/>
    <x v="14"/>
    <s v="OPERADO"/>
    <s v="VALE RIO CLARO"/>
    <d v="2026-01-12T00:00:00"/>
    <x v="2"/>
    <n v="9"/>
    <m/>
    <m/>
    <m/>
    <m/>
    <m/>
    <m/>
  </r>
  <r>
    <s v="ALUFORCE"/>
    <d v="2026-01-09T00:00:00"/>
    <s v="NF"/>
    <n v="278"/>
    <s v="002"/>
    <s v="BARRA MANSA COMERCIO E REPRESENTACAO LTDA"/>
    <s v="30.126.357/0001-81"/>
    <n v="7401.25"/>
    <x v="16"/>
    <s v="OPERADO"/>
    <s v="VALE RIO CLARO"/>
    <d v="2026-01-12T00:00:00"/>
    <x v="2"/>
    <n v="23"/>
    <m/>
    <m/>
    <m/>
    <m/>
    <m/>
    <m/>
  </r>
  <r>
    <s v="ALUFORCE"/>
    <d v="2026-01-09T00:00:00"/>
    <s v="NF"/>
    <n v="278"/>
    <s v="003"/>
    <s v="BARRA MANSA COMERCIO E REPRESENTACAO LTDA"/>
    <s v="30.126.357/0001-81"/>
    <n v="7401.25"/>
    <x v="41"/>
    <s v="OPERADO"/>
    <s v="VALE RIO CLARO"/>
    <d v="2026-01-12T00:00:00"/>
    <x v="2"/>
    <n v="37"/>
    <m/>
    <m/>
    <m/>
    <m/>
    <m/>
    <m/>
  </r>
  <r>
    <s v="ALUFORCE"/>
    <d v="2026-01-09T00:00:00"/>
    <s v="NF"/>
    <n v="278"/>
    <s v="004"/>
    <s v="BARRA MANSA COMERCIO E REPRESENTACAO LTDA"/>
    <s v="30.126.357/0001-81"/>
    <n v="7401.25"/>
    <x v="42"/>
    <s v="OPERADO"/>
    <s v="VALE RIO CLARO"/>
    <d v="2026-01-12T00:00:00"/>
    <x v="2"/>
    <n v="51"/>
    <m/>
    <m/>
    <m/>
    <m/>
    <m/>
    <m/>
  </r>
  <r>
    <s v="ALUFORCE"/>
    <d v="2026-01-09T00:00:00"/>
    <s v="NF"/>
    <n v="279"/>
    <s v="001"/>
    <s v="EGIDIO &amp; CAETANO - EXECUCOES ELETRICAS LTDA"/>
    <s v="23.899.714/0001-89"/>
    <n v="4125.2"/>
    <x v="23"/>
    <s v="OPERADO"/>
    <s v="VALE RIO CLARO"/>
    <d v="2026-01-12T00:00:00"/>
    <x v="2"/>
    <n v="10"/>
    <m/>
    <m/>
    <m/>
    <m/>
    <m/>
    <m/>
  </r>
  <r>
    <s v="ALUFORCE"/>
    <d v="2026-01-09T00:00:00"/>
    <s v="NF"/>
    <n v="279"/>
    <s v="002"/>
    <s v="EGIDIO &amp; CAETANO - EXECUCOES ELETRICAS LTDA"/>
    <s v="23.899.714/0001-89"/>
    <n v="4125.2"/>
    <x v="43"/>
    <s v="OPERADO"/>
    <s v="VALE RIO CLARO"/>
    <d v="2026-01-12T00:00:00"/>
    <x v="2"/>
    <n v="40"/>
    <m/>
    <m/>
    <m/>
    <m/>
    <m/>
    <m/>
  </r>
  <r>
    <s v="ALUFORCE"/>
    <d v="2026-01-12T00:00:00"/>
    <s v="NF"/>
    <n v="281"/>
    <s v="001"/>
    <s v="PACO MATERIAIS PARA CONSTRUCAO LTDA"/>
    <s v="03.604.844/0001-30"/>
    <n v="1083.3399999999999"/>
    <x v="36"/>
    <s v="OPERADO"/>
    <s v="H8"/>
    <d v="2026-01-15T00:00:00"/>
    <x v="2"/>
    <n v="8"/>
    <m/>
    <m/>
    <m/>
    <m/>
    <m/>
    <m/>
  </r>
  <r>
    <s v="ALUFORCE"/>
    <d v="2026-01-12T00:00:00"/>
    <s v="NF"/>
    <n v="281"/>
    <s v="002"/>
    <s v="PACO MATERIAIS PARA CONSTRUCAO LTDA"/>
    <s v="03.604.844/0001-30"/>
    <n v="1083.33"/>
    <x v="37"/>
    <s v="OPERADO"/>
    <s v="H8"/>
    <d v="2026-01-15T00:00:00"/>
    <x v="2"/>
    <n v="15"/>
    <m/>
    <m/>
    <m/>
    <m/>
    <m/>
    <m/>
  </r>
  <r>
    <s v="ALUFORCE"/>
    <d v="2026-01-12T00:00:00"/>
    <s v="NF"/>
    <n v="281"/>
    <s v="003"/>
    <s v="PACO MATERIAIS PARA CONSTRUCAO LTDA"/>
    <s v="03.604.844/0001-30"/>
    <n v="1083.33"/>
    <x v="38"/>
    <s v="OPERADO"/>
    <s v="H8"/>
    <d v="2026-01-15T00:00:00"/>
    <x v="2"/>
    <n v="22"/>
    <m/>
    <m/>
    <m/>
    <m/>
    <m/>
    <m/>
  </r>
  <r>
    <s v="ALUFORCE"/>
    <d v="2026-01-14T00:00:00"/>
    <s v="NF"/>
    <n v="282"/>
    <s v="001"/>
    <s v="AM SOLUCOES E SERVICOS INTELIGENTES LTDA"/>
    <s v="11.217.886/0001-46"/>
    <n v="1675.8"/>
    <x v="44"/>
    <s v="A VISTA"/>
    <s v="ALUFORCE"/>
    <m/>
    <x v="1"/>
    <n v="-19"/>
    <m/>
    <m/>
    <m/>
    <m/>
    <m/>
    <m/>
  </r>
  <r>
    <s v="ALUFORCE"/>
    <d v="2026-01-14T00:00:00"/>
    <s v="NF"/>
    <n v="283"/>
    <s v="001"/>
    <s v="BARRA MANSA COMERCIO E REPRESENTACAO LTDA"/>
    <s v="30.126.357/0001-81"/>
    <n v="4201.25"/>
    <x v="23"/>
    <s v="OPERADO"/>
    <s v="H8"/>
    <d v="2026-01-15T00:00:00"/>
    <x v="2"/>
    <n v="10"/>
    <m/>
    <m/>
    <m/>
    <m/>
    <m/>
    <m/>
  </r>
  <r>
    <s v="ALUFORCE"/>
    <d v="2026-01-14T00:00:00"/>
    <s v="NF"/>
    <n v="283"/>
    <s v="002"/>
    <s v="BARRA MANSA COMERCIO E REPRESENTACAO LTDA"/>
    <s v="30.126.357/0001-81"/>
    <n v="4201.25"/>
    <x v="25"/>
    <s v="OPERADO"/>
    <s v="H8"/>
    <d v="2026-01-15T00:00:00"/>
    <x v="2"/>
    <n v="24"/>
    <m/>
    <m/>
    <m/>
    <m/>
    <m/>
    <m/>
  </r>
  <r>
    <s v="ALUFORCE"/>
    <d v="2026-01-14T00:00:00"/>
    <s v="NF"/>
    <n v="283"/>
    <s v="003"/>
    <s v="BARRA MANSA COMERCIO E REPRESENTACAO LTDA"/>
    <s v="30.126.357/0001-81"/>
    <n v="4201.25"/>
    <x v="39"/>
    <s v="OPERADO"/>
    <s v="H8"/>
    <d v="2026-01-15T00:00:00"/>
    <x v="2"/>
    <n v="38"/>
    <m/>
    <m/>
    <m/>
    <m/>
    <m/>
    <m/>
  </r>
  <r>
    <s v="ALUFORCE"/>
    <d v="2026-01-14T00:00:00"/>
    <s v="NF"/>
    <n v="283"/>
    <s v="004"/>
    <s v="BARRA MANSA COMERCIO E REPRESENTACAO LTDA"/>
    <s v="30.126.357/0001-81"/>
    <n v="4201.25"/>
    <x v="45"/>
    <s v="OPERADO"/>
    <s v="H8"/>
    <d v="2026-01-15T00:00:00"/>
    <x v="2"/>
    <n v="52"/>
    <m/>
    <m/>
    <m/>
    <m/>
    <m/>
    <m/>
  </r>
  <r>
    <s v="ALUFORCE"/>
    <d v="2026-01-14T00:00:00"/>
    <s v="NF"/>
    <n v="284"/>
    <s v="001"/>
    <s v="DME DISTRIBUIDORA DE MATERIAIS ELETRICOS LTDA"/>
    <s v="21.826.291/0001-41"/>
    <n v="3284.5"/>
    <x v="29"/>
    <s v="OPERADO"/>
    <s v="H8"/>
    <d v="2026-01-15T00:00:00"/>
    <x v="2"/>
    <n v="11"/>
    <m/>
    <m/>
    <m/>
    <m/>
    <m/>
    <m/>
  </r>
  <r>
    <s v="ALUFORCE"/>
    <d v="2026-01-14T00:00:00"/>
    <s v="NF"/>
    <n v="284"/>
    <s v="002"/>
    <s v="DME DISTRIBUIDORA DE MATERIAIS ELETRICOS LTDA"/>
    <s v="21.826.291/0001-41"/>
    <n v="3284.5"/>
    <x v="30"/>
    <s v="OPERADO"/>
    <s v="H8"/>
    <d v="2026-01-15T00:00:00"/>
    <x v="2"/>
    <n v="18"/>
    <m/>
    <m/>
    <m/>
    <m/>
    <m/>
    <m/>
  </r>
  <r>
    <s v="ALUFORCE"/>
    <d v="2026-01-14T00:00:00"/>
    <s v="NF"/>
    <n v="284"/>
    <s v="003"/>
    <s v="DME DISTRIBUIDORA DE MATERIAIS ELETRICOS LTDA"/>
    <s v="21.826.291/0001-41"/>
    <n v="3284.5"/>
    <x v="46"/>
    <s v="OPERADO"/>
    <s v="H8"/>
    <d v="2026-01-15T00:00:00"/>
    <x v="2"/>
    <n v="25"/>
    <m/>
    <m/>
    <m/>
    <m/>
    <m/>
    <m/>
  </r>
  <r>
    <s v="ALUFORCE"/>
    <d v="2026-01-14T00:00:00"/>
    <s v="NF"/>
    <n v="284"/>
    <s v="004"/>
    <s v="DME DISTRIBUIDORA DE MATERIAIS ELETRICOS LTDA"/>
    <s v="21.826.291/0001-41"/>
    <n v="3284.5"/>
    <x v="47"/>
    <s v="OPERADO"/>
    <s v="H8"/>
    <d v="2026-01-15T00:00:00"/>
    <x v="2"/>
    <n v="32"/>
    <m/>
    <m/>
    <m/>
    <m/>
    <m/>
    <m/>
  </r>
  <r>
    <s v="ALUFORCE"/>
    <d v="2026-01-14T00:00:00"/>
    <s v="NF"/>
    <n v="284"/>
    <s v="005"/>
    <s v="DME DISTRIBUIDORA DE MATERIAIS ELETRICOS LTDA"/>
    <s v="21.826.291/0001-41"/>
    <n v="3284.5"/>
    <x v="48"/>
    <s v="OPERADO"/>
    <s v="H8"/>
    <d v="2026-01-15T00:00:00"/>
    <x v="2"/>
    <n v="39"/>
    <m/>
    <m/>
    <m/>
    <m/>
    <m/>
    <m/>
  </r>
  <r>
    <s v="ALUFORCE"/>
    <d v="2026-01-14T00:00:00"/>
    <s v="NF"/>
    <n v="284"/>
    <s v="006"/>
    <s v="DME DISTRIBUIDORA DE MATERIAIS ELETRICOS LTDA"/>
    <s v="21.826.291/0001-41"/>
    <n v="3284.5"/>
    <x v="49"/>
    <s v="OPERADO"/>
    <s v="H8"/>
    <d v="2026-01-15T00:00:00"/>
    <x v="2"/>
    <n v="46"/>
    <m/>
    <m/>
    <m/>
    <m/>
    <m/>
    <m/>
  </r>
  <r>
    <s v="ALUFORCE"/>
    <d v="2026-01-14T00:00:00"/>
    <s v="F9"/>
    <n v="284"/>
    <s v="001"/>
    <s v="DME DISTRIBUIDORA DE MATERIAIS ELETRICOS LTDA"/>
    <s v="21.826.291/0001-41"/>
    <n v="7663.83"/>
    <x v="29"/>
    <s v="OPERADO"/>
    <s v="H8"/>
    <d v="2026-01-15T00:00:00"/>
    <x v="2"/>
    <n v="11"/>
    <m/>
    <m/>
    <m/>
    <m/>
    <m/>
    <m/>
  </r>
  <r>
    <s v="ALUFORCE"/>
    <d v="2026-01-14T00:00:00"/>
    <s v="F9"/>
    <n v="284"/>
    <s v="002"/>
    <s v="DME DISTRIBUIDORA DE MATERIAIS ELETRICOS LTDA"/>
    <s v="21.826.291/0001-41"/>
    <n v="7663.83"/>
    <x v="30"/>
    <s v="OPERADO"/>
    <s v="H8"/>
    <d v="2026-01-15T00:00:00"/>
    <x v="2"/>
    <n v="18"/>
    <m/>
    <m/>
    <m/>
    <m/>
    <m/>
    <m/>
  </r>
  <r>
    <s v="ALUFORCE"/>
    <d v="2026-01-14T00:00:00"/>
    <s v="F9"/>
    <n v="284"/>
    <s v="003"/>
    <s v="DME DISTRIBUIDORA DE MATERIAIS ELETRICOS LTDA"/>
    <s v="21.826.291/0001-41"/>
    <n v="7663.83"/>
    <x v="46"/>
    <s v="OPERADO"/>
    <s v="H8"/>
    <d v="2026-01-15T00:00:00"/>
    <x v="2"/>
    <n v="25"/>
    <m/>
    <m/>
    <m/>
    <m/>
    <m/>
    <m/>
  </r>
  <r>
    <s v="ALUFORCE"/>
    <d v="2026-01-14T00:00:00"/>
    <s v="F9"/>
    <n v="284"/>
    <s v="004"/>
    <s v="DME DISTRIBUIDORA DE MATERIAIS ELETRICOS LTDA"/>
    <s v="21.826.291/0001-41"/>
    <n v="7663.83"/>
    <x v="47"/>
    <s v="OPERADO"/>
    <s v="H8"/>
    <d v="2026-01-15T00:00:00"/>
    <x v="2"/>
    <n v="32"/>
    <m/>
    <m/>
    <m/>
    <m/>
    <m/>
    <m/>
  </r>
  <r>
    <s v="ALUFORCE"/>
    <d v="2026-01-14T00:00:00"/>
    <s v="F9"/>
    <n v="284"/>
    <s v="005"/>
    <s v="DME DISTRIBUIDORA DE MATERIAIS ELETRICOS LTDA"/>
    <s v="21.826.291/0001-41"/>
    <n v="7663.83"/>
    <x v="48"/>
    <s v="OPERADO"/>
    <s v="H8"/>
    <d v="2026-01-15T00:00:00"/>
    <x v="2"/>
    <n v="39"/>
    <m/>
    <m/>
    <m/>
    <m/>
    <m/>
    <m/>
  </r>
  <r>
    <s v="ALUFORCE"/>
    <d v="2026-01-14T00:00:00"/>
    <s v="F9"/>
    <n v="284"/>
    <s v="006"/>
    <s v="DME DISTRIBUIDORA DE MATERIAIS ELETRICOS LTDA"/>
    <s v="21.826.291/0001-41"/>
    <n v="7663.83"/>
    <x v="49"/>
    <s v="OPERADO"/>
    <s v="H8"/>
    <d v="2026-01-15T00:00:00"/>
    <x v="2"/>
    <n v="46"/>
    <m/>
    <m/>
    <m/>
    <m/>
    <m/>
    <m/>
  </r>
  <r>
    <s v="ALUFORCE"/>
    <d v="2026-01-14T00:00:00"/>
    <s v="NF"/>
    <n v="285"/>
    <s v="001"/>
    <s v="ILUMINACAO PAULISTANA SPE S/A"/>
    <s v="29.851.606/0001-12"/>
    <n v="72268.2"/>
    <x v="15"/>
    <s v="OPERADO"/>
    <s v="FAMA"/>
    <d v="2026-01-15T00:00:00"/>
    <x v="2"/>
    <n v="16"/>
    <m/>
    <m/>
    <m/>
    <m/>
    <m/>
    <m/>
  </r>
  <r>
    <s v="ALUFORCE"/>
    <d v="2026-01-14T00:00:00"/>
    <s v="NF"/>
    <n v="286"/>
    <s v="001"/>
    <s v="CONSORCIO SMART CITY SP"/>
    <s v="51.604.560/0001-96"/>
    <n v="3399"/>
    <x v="14"/>
    <s v="OPERADO"/>
    <s v="FAMA"/>
    <d v="2026-01-15T00:00:00"/>
    <x v="2"/>
    <n v="9"/>
    <m/>
    <m/>
    <m/>
    <m/>
    <m/>
    <m/>
  </r>
  <r>
    <s v="ALUFORCE"/>
    <d v="2026-01-14T00:00:00"/>
    <s v="NF"/>
    <n v="286"/>
    <s v="002"/>
    <s v="CONSORCIO SMART CITY SP"/>
    <s v="51.604.560/0001-96"/>
    <n v="3399"/>
    <x v="15"/>
    <s v="OPERADO"/>
    <s v="FAMA"/>
    <d v="2026-01-15T00:00:00"/>
    <x v="2"/>
    <n v="16"/>
    <m/>
    <m/>
    <m/>
    <m/>
    <m/>
    <m/>
  </r>
  <r>
    <s v="ALUFORCE"/>
    <d v="2026-01-14T00:00:00"/>
    <s v="NF"/>
    <n v="286"/>
    <s v="003"/>
    <s v="CONSORCIO SMART CITY SP"/>
    <s v="51.604.560/0001-96"/>
    <n v="3399"/>
    <x v="16"/>
    <s v="OPERADO"/>
    <s v="FAMA"/>
    <d v="2026-01-15T00:00:00"/>
    <x v="2"/>
    <n v="23"/>
    <m/>
    <m/>
    <m/>
    <m/>
    <m/>
    <m/>
  </r>
  <r>
    <s v="ALUFORCE"/>
    <d v="2025-12-05T00:00:00"/>
    <s v="F9"/>
    <s v="221"/>
    <s v="001"/>
    <s v="LF ELETRIFICACOES LTDA"/>
    <m/>
    <n v="1685"/>
    <x v="3"/>
    <s v="OPERADO"/>
    <s v="H8"/>
    <m/>
    <x v="0"/>
    <n v="-21"/>
    <s v="LIQUIDADO"/>
    <m/>
    <m/>
    <m/>
    <m/>
    <m/>
  </r>
  <r>
    <s v="ALUFORCE"/>
    <d v="2025-12-05T00:00:00"/>
    <s v="F9"/>
    <s v="226"/>
    <s v="003"/>
    <s v="COMERCIAL ELETRICA PAPIRO LTDA"/>
    <m/>
    <n v="1094.5"/>
    <x v="8"/>
    <s v="OPERADO"/>
    <s v="H8"/>
    <m/>
    <x v="0"/>
    <n v="-20"/>
    <s v="LIQUIDADO"/>
    <m/>
    <m/>
    <m/>
    <m/>
    <m/>
  </r>
  <r>
    <s v="ALUFORCE"/>
    <d v="2026-01-15T00:00:00"/>
    <s v="NF"/>
    <n v="288"/>
    <s v="001"/>
    <s v="IMPACTO ELETRICA LTDA"/>
    <s v="44.886.127/0001-25"/>
    <n v="8078"/>
    <x v="2"/>
    <s v="A VISTA"/>
    <s v="ALUFORCE"/>
    <m/>
    <x v="1"/>
    <n v="-18"/>
    <m/>
    <m/>
    <m/>
    <m/>
    <m/>
    <m/>
  </r>
  <r>
    <s v="ALUFORCE"/>
    <d v="2026-01-15T00:00:00"/>
    <s v="NF"/>
    <n v="290"/>
    <s v="001"/>
    <s v="ELETRO PADUA LTDA"/>
    <s v="71.883.219/0001-24"/>
    <n v="1754.32"/>
    <x v="23"/>
    <s v="OPERADO"/>
    <s v="VALE RIO CLARO"/>
    <d v="2026-01-16T00:00:00"/>
    <x v="2"/>
    <n v="10"/>
    <m/>
    <m/>
    <m/>
    <m/>
    <m/>
    <m/>
  </r>
  <r>
    <s v="ALUFORCE"/>
    <d v="2026-01-15T00:00:00"/>
    <s v="NF"/>
    <n v="290"/>
    <s v="002"/>
    <s v="ELETRO PADUA LTDA"/>
    <s v="71.883.219/0001-24"/>
    <n v="1430"/>
    <x v="24"/>
    <s v="OPERADO"/>
    <s v="VALE RIO CLARO"/>
    <d v="2026-01-16T00:00:00"/>
    <x v="2"/>
    <n v="17"/>
    <m/>
    <m/>
    <m/>
    <m/>
    <m/>
    <m/>
  </r>
  <r>
    <s v="ALUFORCE"/>
    <d v="2026-01-15T00:00:00"/>
    <s v="NF"/>
    <n v="290"/>
    <s v="003"/>
    <s v="ELETRO PADUA LTDA"/>
    <s v="71.883.219/0001-24"/>
    <n v="1430"/>
    <x v="25"/>
    <s v="OPERADO"/>
    <s v="VALE RIO CLARO"/>
    <d v="2026-01-16T00:00:00"/>
    <x v="2"/>
    <n v="24"/>
    <m/>
    <m/>
    <m/>
    <m/>
    <m/>
    <m/>
  </r>
  <r>
    <s v="ALUFORCE"/>
    <d v="2026-01-15T00:00:00"/>
    <s v="F9"/>
    <n v="290"/>
    <s v="001"/>
    <s v="ELETRO PADUA LTDA"/>
    <s v="71.883.219/0001-24"/>
    <n v="1430"/>
    <x v="23"/>
    <s v="CARTEIRA"/>
    <s v="ALUFORCE"/>
    <m/>
    <x v="2"/>
    <n v="10"/>
    <m/>
    <m/>
    <m/>
    <m/>
    <m/>
    <s v="BANCO NUBANK "/>
  </r>
  <r>
    <s v="ALUFORCE"/>
    <d v="2026-01-15T00:00:00"/>
    <s v="F9"/>
    <n v="290"/>
    <s v="002"/>
    <s v="ELETRO PADUA LTDA"/>
    <s v="71.883.219/0001-24"/>
    <n v="1430"/>
    <x v="24"/>
    <s v="CARTEIRA"/>
    <s v="ALUFORCE"/>
    <m/>
    <x v="2"/>
    <n v="17"/>
    <m/>
    <m/>
    <m/>
    <m/>
    <m/>
    <s v="BANCO NUBANK "/>
  </r>
  <r>
    <s v="ALUFORCE"/>
    <d v="2026-01-15T00:00:00"/>
    <s v="F9"/>
    <n v="290"/>
    <s v="003"/>
    <s v="ELETRO PADUA LTDA"/>
    <s v="71.883.219/0001-24"/>
    <n v="1430"/>
    <x v="25"/>
    <s v="CARTEIRA"/>
    <s v="ALUFORCE"/>
    <m/>
    <x v="2"/>
    <n v="24"/>
    <m/>
    <m/>
    <m/>
    <m/>
    <m/>
    <s v="BANCO NUBANK "/>
  </r>
  <r>
    <s v="ALUFORCE"/>
    <d v="2026-01-16T00:00:00"/>
    <s v="NF"/>
    <n v="291"/>
    <m/>
    <s v="AMPLAMED INDUSTRIA E COMERCIO LTDA"/>
    <s v="37.910.277/0001-61"/>
    <n v="9450"/>
    <x v="12"/>
    <s v="CARTEIRA"/>
    <s v="ALUFORCE"/>
    <m/>
    <x v="1"/>
    <n v="-17"/>
    <m/>
    <m/>
    <m/>
    <m/>
    <m/>
    <m/>
  </r>
  <r>
    <s v="ALUFORCE"/>
    <d v="2026-01-16T00:00:00"/>
    <s v="NF"/>
    <n v="292"/>
    <s v="001"/>
    <s v="ROSA SUL SERVICOS ELETRICOS E FLORESTAIS LTDA"/>
    <s v="102987040001-46"/>
    <n v="2260"/>
    <x v="17"/>
    <s v="OPERADO"/>
    <s v="VALE RIO CLARO"/>
    <d v="2026-01-16T00:00:00"/>
    <x v="2"/>
    <n v="14"/>
    <m/>
    <m/>
    <m/>
    <m/>
    <m/>
    <m/>
  </r>
  <r>
    <s v="ALUFORCE"/>
    <d v="2026-01-16T00:00:00"/>
    <s v="NF"/>
    <n v="292"/>
    <s v="002"/>
    <s v="ROSA SUL SERVICOS ELETRICOS E FLORESTAIS LTDA"/>
    <s v="10.298.704/0001-46"/>
    <n v="2260"/>
    <x v="35"/>
    <s v="OPERADO"/>
    <s v="VALE RIO CLARO"/>
    <d v="2026-01-16T00:00:00"/>
    <x v="2"/>
    <n v="21"/>
    <m/>
    <m/>
    <m/>
    <m/>
    <m/>
    <m/>
  </r>
  <r>
    <s v="ALUFORCE"/>
    <d v="2026-01-16T00:00:00"/>
    <s v="NF"/>
    <n v="292"/>
    <s v="003"/>
    <s v="ROSA SUL SERVICOS ELETRICOS E FLORESTAIS LTDA"/>
    <s v="10.298.704/0001-46"/>
    <n v="2260"/>
    <x v="50"/>
    <s v="OPERADO"/>
    <s v="VALE RIO CLARO"/>
    <d v="2026-01-16T00:00:00"/>
    <x v="2"/>
    <n v="28"/>
    <m/>
    <m/>
    <m/>
    <m/>
    <m/>
    <m/>
  </r>
  <r>
    <s v="ALUFORCE"/>
    <d v="2026-01-16T00:00:00"/>
    <s v="NF"/>
    <n v="293"/>
    <s v="001"/>
    <s v="ILUMINAR DISTRIBUIDORA LTDA"/>
    <s v="46.983.761/0001-01"/>
    <n v="6117.5"/>
    <x v="15"/>
    <s v="OPERADO"/>
    <s v="VALE RIO CLARO"/>
    <d v="2026-01-16T00:00:00"/>
    <x v="2"/>
    <n v="16"/>
    <m/>
    <m/>
    <m/>
    <m/>
    <m/>
    <m/>
  </r>
  <r>
    <s v="ALUFORCE"/>
    <d v="2026-01-16T00:00:00"/>
    <s v="NF"/>
    <n v="293"/>
    <s v="002"/>
    <s v="ILUMINAR DISTRIBUIDORA LTDA"/>
    <s v="46.983.761/0001-01"/>
    <n v="6117.5"/>
    <x v="16"/>
    <s v="OPERADO"/>
    <s v="VALE RIO CLARO"/>
    <d v="2026-01-16T00:00:00"/>
    <x v="2"/>
    <n v="23"/>
    <m/>
    <m/>
    <m/>
    <m/>
    <m/>
    <m/>
  </r>
  <r>
    <s v="ALUFORCE"/>
    <d v="2026-01-16T00:00:00"/>
    <s v="NF"/>
    <n v="293"/>
    <s v="003"/>
    <s v="ILUMINAR DISTRIBUIDORA LTDA"/>
    <s v="46.983.761/0001-01"/>
    <n v="6117.5"/>
    <x v="51"/>
    <s v="OPERADO"/>
    <s v="VALE RIO CLARO"/>
    <d v="2026-01-16T00:00:00"/>
    <x v="2"/>
    <n v="30"/>
    <m/>
    <m/>
    <m/>
    <m/>
    <m/>
    <m/>
  </r>
  <r>
    <s v="ALUFORCE"/>
    <d v="2026-01-16T00:00:00"/>
    <s v="F9"/>
    <n v="293"/>
    <s v="001"/>
    <s v="ILUMINAR DISTRIBUIDORA LTDA"/>
    <s v="46.983.761/0001-01"/>
    <n v="6117.5"/>
    <x v="15"/>
    <s v="CARTEIRA"/>
    <s v="ALUFORCE"/>
    <m/>
    <x v="2"/>
    <n v="16"/>
    <m/>
    <m/>
    <m/>
    <m/>
    <m/>
    <s v="BANCO NUBANK "/>
  </r>
  <r>
    <s v="ALUFORCE"/>
    <d v="2026-01-16T00:00:00"/>
    <s v="F9"/>
    <n v="293"/>
    <s v="002"/>
    <s v="ILUMINAR DISTRIBUIDORA LTDA"/>
    <s v="46.983.761/0001-01"/>
    <n v="6117.5"/>
    <x v="16"/>
    <s v="CARTEIRA"/>
    <s v="ALUFORCE"/>
    <m/>
    <x v="2"/>
    <n v="23"/>
    <m/>
    <m/>
    <m/>
    <m/>
    <m/>
    <s v="BANCO NUBANK "/>
  </r>
  <r>
    <s v="ALUFORCE"/>
    <d v="2026-01-16T00:00:00"/>
    <s v="F9"/>
    <n v="293"/>
    <s v="003"/>
    <s v="ILUMINAR DISTRIBUIDORA LTDA"/>
    <s v="46.983.761/0001-01"/>
    <n v="6117.5"/>
    <x v="51"/>
    <s v="CARTEIRA"/>
    <s v="ALUFORCE"/>
    <m/>
    <x v="2"/>
    <n v="30"/>
    <m/>
    <m/>
    <m/>
    <m/>
    <m/>
    <s v="BANCO NUBANK "/>
  </r>
  <r>
    <s v="ALUFORCE"/>
    <d v="2026-01-16T00:00:00"/>
    <s v="NF"/>
    <n v="294"/>
    <s v="001"/>
    <s v="SIGMA ENGENHARIA INDUSTRIA E COMERCIO LTDA"/>
    <s v="25.898.180/0001-00"/>
    <n v="3140"/>
    <x v="37"/>
    <s v="OPERADO"/>
    <s v="VALE RIO CLARO"/>
    <d v="2026-01-16T00:00:00"/>
    <x v="2"/>
    <n v="15"/>
    <m/>
    <m/>
    <m/>
    <m/>
    <m/>
    <m/>
  </r>
  <r>
    <s v="ALUFORCE"/>
    <d v="2026-01-16T00:00:00"/>
    <s v="NF"/>
    <n v="294"/>
    <s v="002"/>
    <s v="SIGMA ENGENHARIA INDUSTRIA E COMERCIO LTDA"/>
    <s v="25.898.180/0001-00"/>
    <n v="3140"/>
    <x v="38"/>
    <s v="OPERADO"/>
    <s v="VALE RIO CLARO"/>
    <d v="2026-01-16T00:00:00"/>
    <x v="2"/>
    <n v="22"/>
    <m/>
    <m/>
    <m/>
    <m/>
    <m/>
    <m/>
  </r>
  <r>
    <s v="ALUFORCE"/>
    <d v="2026-01-16T00:00:00"/>
    <s v="NF"/>
    <n v="294"/>
    <s v="003"/>
    <s v="SIGMA ENGENHARIA INDUSTRIA E COMERCIO LTDA"/>
    <s v="25.898.180/0001-00"/>
    <n v="3140"/>
    <x v="52"/>
    <s v="OPERADO"/>
    <s v="VALE RIO CLARO"/>
    <d v="2026-01-16T00:00:00"/>
    <x v="2"/>
    <n v="29"/>
    <m/>
    <m/>
    <m/>
    <m/>
    <m/>
    <m/>
  </r>
  <r>
    <s v="ALUFORCE"/>
    <d v="2026-01-20T00:00:00"/>
    <s v="NF"/>
    <n v="296"/>
    <s v="004"/>
    <s v="CONSORCIO ALQUES -J N R "/>
    <s v="55.060.017/0001-26"/>
    <n v="8886.11"/>
    <x v="53"/>
    <s v="OPERADO"/>
    <s v="AUGURI"/>
    <d v="2026-01-22T00:00:00"/>
    <x v="2"/>
    <n v="53"/>
    <m/>
    <m/>
    <m/>
    <m/>
    <m/>
    <m/>
  </r>
  <r>
    <s v="ALUFORCE"/>
    <d v="2026-01-20T00:00:00"/>
    <s v="NF"/>
    <n v="296"/>
    <s v="005"/>
    <s v="CONSORCIO ALQUES -J N R "/>
    <s v="55.060.017/0001-26"/>
    <n v="7719"/>
    <x v="54"/>
    <s v="OPERADO"/>
    <s v="AUGURI"/>
    <d v="2026-01-22T00:00:00"/>
    <x v="2"/>
    <n v="83"/>
    <m/>
    <m/>
    <m/>
    <m/>
    <m/>
    <m/>
  </r>
  <r>
    <s v="ALUFORCE"/>
    <d v="2026-01-20T00:00:00"/>
    <s v="NF"/>
    <n v="297"/>
    <s v="001"/>
    <s v="MIKE S DE OLIVEIRA LTDA "/>
    <s v="55.435.066/0001-04"/>
    <n v="660"/>
    <x v="30"/>
    <s v="OPERADO"/>
    <s v="VALE RIO CLARO"/>
    <d v="2026-01-20T00:00:00"/>
    <x v="2"/>
    <n v="18"/>
    <m/>
    <m/>
    <m/>
    <m/>
    <m/>
    <m/>
  </r>
  <r>
    <s v="ALUFORCE"/>
    <d v="2026-01-20T00:00:00"/>
    <s v="NF"/>
    <n v="297"/>
    <s v="002"/>
    <s v="MIKE S DE OLIVEIRA LTDA "/>
    <s v="55.435.066/0001-04"/>
    <n v="660"/>
    <x v="46"/>
    <s v="OPERADO"/>
    <s v="VALE RIO CLARO"/>
    <d v="2026-01-20T00:00:00"/>
    <x v="2"/>
    <n v="25"/>
    <m/>
    <m/>
    <m/>
    <m/>
    <m/>
    <m/>
  </r>
  <r>
    <s v="ALUFORCE"/>
    <d v="2026-01-20T00:00:00"/>
    <s v="NF"/>
    <n v="297"/>
    <s v="003"/>
    <s v="MIKE S DE OLIVEIRA LTDA "/>
    <s v="55.435.066/0001-04"/>
    <n v="660"/>
    <x v="47"/>
    <s v="OPERADO"/>
    <s v="VALE RIO CLARO"/>
    <d v="2026-01-20T00:00:00"/>
    <x v="2"/>
    <n v="32"/>
    <m/>
    <m/>
    <m/>
    <m/>
    <m/>
    <m/>
  </r>
  <r>
    <s v="ALUFORCE"/>
    <d v="2026-01-20T00:00:00"/>
    <s v="NF"/>
    <n v="297"/>
    <s v="004"/>
    <s v="MIKE S DE OLIVEIRA LTDA "/>
    <s v="55.435.066/0001-04"/>
    <n v="660"/>
    <x v="48"/>
    <s v="OPERADO"/>
    <s v="VALE RIO CLARO"/>
    <d v="2026-01-20T00:00:00"/>
    <x v="2"/>
    <n v="39"/>
    <m/>
    <m/>
    <m/>
    <m/>
    <m/>
    <m/>
  </r>
  <r>
    <s v="ALUFORCE"/>
    <d v="2026-01-20T00:00:00"/>
    <s v="NF"/>
    <n v="297"/>
    <s v="005"/>
    <s v="MIKE S DE OLIVEIRA LTDA "/>
    <s v="55.435.066/0001-04"/>
    <n v="660"/>
    <x v="49"/>
    <s v="OPERADO"/>
    <s v="VALE RIO CLARO"/>
    <d v="2026-01-20T00:00:00"/>
    <x v="2"/>
    <n v="46"/>
    <m/>
    <m/>
    <m/>
    <m/>
    <m/>
    <m/>
  </r>
  <r>
    <s v="ALUFORCE"/>
    <d v="2026-01-20T00:00:00"/>
    <s v="F9"/>
    <n v="297"/>
    <s v="001"/>
    <s v="MIKE S DE OLIVEIRA LTDA "/>
    <s v="55.435.066/0001-04"/>
    <n v="660"/>
    <x v="30"/>
    <s v="CARTEIRA"/>
    <s v="ALUFORCE"/>
    <m/>
    <x v="2"/>
    <n v="18"/>
    <m/>
    <m/>
    <m/>
    <m/>
    <m/>
    <s v="BANCO NUBANK "/>
  </r>
  <r>
    <s v="ALUFORCE"/>
    <d v="2026-01-20T00:00:00"/>
    <s v="F9"/>
    <n v="297"/>
    <s v="002"/>
    <s v="MIKE S DE OLIVEIRA LTDA "/>
    <s v="55.435.066/0001-04"/>
    <n v="660"/>
    <x v="46"/>
    <s v="CARTEIRA"/>
    <s v="ALUFORCE"/>
    <m/>
    <x v="2"/>
    <n v="25"/>
    <m/>
    <m/>
    <m/>
    <m/>
    <m/>
    <s v="BANCO NUBANK "/>
  </r>
  <r>
    <s v="ALUFORCE"/>
    <d v="2026-01-20T00:00:00"/>
    <s v="F9"/>
    <n v="297"/>
    <s v="003"/>
    <s v="MIKE S DE OLIVEIRA LTDA "/>
    <s v="55.435.066/0001-04"/>
    <n v="660"/>
    <x v="47"/>
    <s v="CARTEIRA"/>
    <s v="ALUFORCE"/>
    <m/>
    <x v="2"/>
    <n v="32"/>
    <m/>
    <m/>
    <m/>
    <m/>
    <m/>
    <s v="BANCO NUBANK "/>
  </r>
  <r>
    <s v="ALUFORCE"/>
    <d v="2026-01-20T00:00:00"/>
    <s v="F9"/>
    <n v="297"/>
    <s v="004"/>
    <s v="MIKE S DE OLIVEIRA LTDA "/>
    <s v="55.435.066/0001-04"/>
    <n v="660"/>
    <x v="48"/>
    <s v="CARTEIRA"/>
    <s v="ALUFORCE"/>
    <m/>
    <x v="2"/>
    <n v="39"/>
    <m/>
    <m/>
    <m/>
    <m/>
    <m/>
    <s v="BANCO NUBANK "/>
  </r>
  <r>
    <s v="ALUFORCE"/>
    <d v="2026-01-20T00:00:00"/>
    <s v="F9"/>
    <n v="297"/>
    <s v="005"/>
    <s v="MIKE S DE OLIVEIRA LTDA "/>
    <s v="55.435.066/0001-04"/>
    <n v="660"/>
    <x v="49"/>
    <s v="CARTEIRA"/>
    <s v="ALUFORCE"/>
    <m/>
    <x v="2"/>
    <n v="46"/>
    <m/>
    <m/>
    <m/>
    <m/>
    <m/>
    <s v="BANCO NUBANK "/>
  </r>
  <r>
    <s v="ALUFORCE"/>
    <d v="2026-01-20T00:00:00"/>
    <s v="NF"/>
    <n v="298"/>
    <s v="001"/>
    <s v="COMERCIAL ELETRICOL LTDA"/>
    <s v="35.963.214/0001-48"/>
    <n v="2728"/>
    <x v="30"/>
    <s v="OPERADO"/>
    <s v="VALE RIO CLARO"/>
    <d v="2026-01-20T00:00:00"/>
    <x v="2"/>
    <n v="18"/>
    <m/>
    <m/>
    <m/>
    <m/>
    <m/>
    <m/>
  </r>
  <r>
    <s v="ALUFORCE"/>
    <d v="2026-01-20T00:00:00"/>
    <s v="NF"/>
    <n v="298"/>
    <s v="002"/>
    <s v="COMERCIAL ELETRICOL LTDA"/>
    <s v="35.963.214/0001-48"/>
    <n v="2728"/>
    <x v="46"/>
    <s v="OPERADO"/>
    <s v="VALE RIO CLARO"/>
    <d v="2026-01-20T00:00:00"/>
    <x v="2"/>
    <n v="25"/>
    <m/>
    <m/>
    <m/>
    <m/>
    <m/>
    <m/>
  </r>
  <r>
    <s v="ALUFORCE"/>
    <d v="2026-01-20T00:00:00"/>
    <s v="NF"/>
    <n v="298"/>
    <s v="003"/>
    <s v="COMERCIAL ELETRICOL LTDA"/>
    <s v="35.963.214/0001-48"/>
    <n v="2728"/>
    <x v="47"/>
    <s v="OPERADO"/>
    <s v="VALE RIO CLARO"/>
    <d v="2026-01-20T00:00:00"/>
    <x v="2"/>
    <n v="32"/>
    <m/>
    <m/>
    <m/>
    <m/>
    <m/>
    <m/>
  </r>
  <r>
    <s v="ALUFORCE"/>
    <d v="2026-01-20T00:00:00"/>
    <s v="NF"/>
    <n v="298"/>
    <s v="004"/>
    <s v="COMERCIAL ELETRICOL LTDA"/>
    <s v="35.963.214/0001-48"/>
    <n v="2728"/>
    <x v="48"/>
    <s v="OPERADO"/>
    <s v="VALE RIO CLARO"/>
    <d v="2026-01-20T00:00:00"/>
    <x v="2"/>
    <n v="39"/>
    <m/>
    <m/>
    <m/>
    <m/>
    <m/>
    <m/>
  </r>
  <r>
    <s v="ALUFORCE"/>
    <d v="2026-01-20T00:00:00"/>
    <s v="NF"/>
    <n v="298"/>
    <s v="005"/>
    <s v="COMERCIAL ELETRICOL LTDA"/>
    <s v="35.963.214/0001-48"/>
    <n v="2728"/>
    <x v="49"/>
    <s v="OPERADO"/>
    <s v="VALE RIO CLARO"/>
    <d v="2026-01-20T00:00:00"/>
    <x v="2"/>
    <n v="46"/>
    <m/>
    <m/>
    <m/>
    <m/>
    <m/>
    <m/>
  </r>
  <r>
    <s v="ALUFORCE"/>
    <d v="2026-01-20T00:00:00"/>
    <s v="NF"/>
    <n v="300"/>
    <s v="001"/>
    <s v="PETROLLUZ MATERIAIS ELETRICOS LTDA"/>
    <s v="02.493.174/0001-69"/>
    <n v="4820"/>
    <x v="38"/>
    <s v="OPERADO"/>
    <s v="VALE RIO CLARO"/>
    <d v="2026-01-20T00:00:00"/>
    <x v="2"/>
    <n v="22"/>
    <m/>
    <m/>
    <m/>
    <m/>
    <m/>
    <m/>
  </r>
  <r>
    <s v="ALUFORCE"/>
    <d v="2026-01-20T00:00:00"/>
    <s v="NF"/>
    <n v="300"/>
    <s v="002"/>
    <s v="PETROLLUZ MATERIAIS ELETRICOS LTDA"/>
    <s v="02.493.174/0001-69"/>
    <n v="4820"/>
    <x v="52"/>
    <s v="OPERADO"/>
    <s v="VALE RIO CLARO"/>
    <d v="2026-01-20T00:00:00"/>
    <x v="2"/>
    <n v="29"/>
    <m/>
    <m/>
    <m/>
    <m/>
    <m/>
    <m/>
  </r>
  <r>
    <s v="ALUFORCE"/>
    <d v="2026-01-20T00:00:00"/>
    <s v="NF"/>
    <n v="300"/>
    <s v="003"/>
    <s v="PETROLLUZ MATERIAIS ELETRICOS LTDA"/>
    <s v="02.493.174/0001-69"/>
    <n v="4820"/>
    <x v="33"/>
    <s v="OPERADO"/>
    <s v="VALE RIO CLARO"/>
    <d v="2026-01-20T00:00:00"/>
    <x v="2"/>
    <n v="36"/>
    <m/>
    <m/>
    <m/>
    <m/>
    <m/>
    <m/>
  </r>
  <r>
    <s v="ALUFORCE"/>
    <d v="2026-01-20T00:00:00"/>
    <s v="NF"/>
    <n v="300"/>
    <s v="004"/>
    <s v="PETROLLUZ MATERIAIS ELETRICOS LTDA"/>
    <s v="02.493.174/0001-69"/>
    <n v="4820"/>
    <x v="55"/>
    <s v="OPERADO"/>
    <s v="VALE RIO CLARO"/>
    <d v="2026-01-20T00:00:00"/>
    <x v="2"/>
    <n v="43"/>
    <m/>
    <m/>
    <m/>
    <m/>
    <m/>
    <m/>
  </r>
  <r>
    <s v="ALUFORCE"/>
    <d v="2026-01-20T00:00:00"/>
    <s v="NF"/>
    <n v="300"/>
    <s v="005"/>
    <s v="PETROLLUZ MATERIAIS ELETRICOS LTDA"/>
    <s v="02.493.174/0001-69"/>
    <n v="4820"/>
    <x v="56"/>
    <s v="OPERADO"/>
    <s v="VALE RIO CLARO"/>
    <d v="2026-01-20T00:00:00"/>
    <x v="2"/>
    <n v="50"/>
    <m/>
    <m/>
    <m/>
    <m/>
    <m/>
    <m/>
  </r>
  <r>
    <s v="ALUFORCE"/>
    <d v="2026-01-21T00:00:00"/>
    <s v="NF"/>
    <n v="304"/>
    <s v="001"/>
    <s v="MNS MOREIRA COMERCIO DE ILUMINACAO LTDA"/>
    <s v="08.752.660/0001-30"/>
    <n v="1731.33"/>
    <x v="35"/>
    <s v="OPERADO"/>
    <s v="VALE RIO CLARO"/>
    <d v="2026-01-22T00:00:00"/>
    <x v="2"/>
    <n v="21"/>
    <m/>
    <m/>
    <m/>
    <m/>
    <m/>
    <m/>
  </r>
  <r>
    <s v="ALUFORCE"/>
    <d v="2026-01-21T00:00:00"/>
    <s v="NF"/>
    <n v="304"/>
    <s v="002"/>
    <s v="MNS MOREIRA COMERCIO DE ILUMINACAO LTDA"/>
    <s v="08.752.660/0001-30"/>
    <n v="1731.33"/>
    <x v="50"/>
    <s v="OPERADO"/>
    <s v="VALE RIO CLARO"/>
    <d v="2026-01-22T00:00:00"/>
    <x v="2"/>
    <n v="28"/>
    <m/>
    <m/>
    <m/>
    <m/>
    <m/>
    <m/>
  </r>
  <r>
    <s v="ALUFORCE"/>
    <d v="2026-01-21T00:00:00"/>
    <s v="NF"/>
    <n v="304"/>
    <s v="003"/>
    <s v="MNS MOREIRA COMERCIO DE ILUMINACAO LTDA"/>
    <s v="08.752.660/0001-30"/>
    <n v="1731.34"/>
    <x v="21"/>
    <s v="OPERADO"/>
    <s v="VALE RIO CLARO"/>
    <d v="2026-01-22T00:00:00"/>
    <x v="2"/>
    <n v="35"/>
    <m/>
    <m/>
    <m/>
    <m/>
    <m/>
    <m/>
  </r>
  <r>
    <s v="ALUFORCE"/>
    <d v="2026-01-22T00:00:00"/>
    <s v="NF"/>
    <n v="308"/>
    <s v="001"/>
    <s v="LUCAS JOSE DE PADUA SANTOS "/>
    <s v="41.750.320/0001-46"/>
    <n v="1748.82"/>
    <x v="0"/>
    <s v="CARTEIRA"/>
    <s v="ALUFORCE"/>
    <m/>
    <x v="1"/>
    <n v="-11"/>
    <m/>
    <m/>
    <m/>
    <m/>
    <m/>
    <m/>
  </r>
  <r>
    <s v="ALUFORCE"/>
    <d v="2026-01-22T00:00:00"/>
    <s v="F9"/>
    <n v="308"/>
    <s v="001"/>
    <s v="LUCAS JOSE DE PADUA SANTOS "/>
    <s v="41.750.320/0001-46"/>
    <n v="13860"/>
    <x v="0"/>
    <s v="A VISTA"/>
    <s v="ALUFORCE"/>
    <m/>
    <x v="1"/>
    <n v="-11"/>
    <m/>
    <m/>
    <m/>
    <m/>
    <m/>
    <m/>
  </r>
  <r>
    <s v="ALUFORCE"/>
    <d v="2026-01-23T00:00:00"/>
    <s v="NF"/>
    <n v="309"/>
    <s v="001"/>
    <s v="ILUMINACAO PAULISTANA SPE S/A"/>
    <s v="29.851.606/0001-12"/>
    <n v="85050"/>
    <x v="46"/>
    <s v="OPERADO"/>
    <s v="DEL MONTE"/>
    <m/>
    <x v="2"/>
    <n v="25"/>
    <m/>
    <m/>
    <m/>
    <m/>
    <m/>
    <m/>
  </r>
  <r>
    <s v="ALUFORCE"/>
    <d v="2026-01-23T00:00:00"/>
    <s v="NF"/>
    <n v="310"/>
    <s v="001"/>
    <s v="ILUMINACAO PAULISTANA SPE S/A"/>
    <s v="29.851.606/0001-12"/>
    <n v="58125"/>
    <x v="46"/>
    <s v="OPERADO"/>
    <s v="DEL MONTE"/>
    <m/>
    <x v="2"/>
    <n v="25"/>
    <m/>
    <m/>
    <m/>
    <m/>
    <m/>
    <m/>
  </r>
  <r>
    <s v="ALUFORCE"/>
    <d v="2026-01-23T00:00:00"/>
    <s v="NF"/>
    <n v="311"/>
    <s v="001"/>
    <s v="ILUMINACAO PAULISTANA SPE S/A"/>
    <s v="29.851.606/0001-12"/>
    <n v="23002"/>
    <x v="46"/>
    <s v="OPERADO"/>
    <s v="LEPTA"/>
    <m/>
    <x v="2"/>
    <n v="25"/>
    <m/>
    <m/>
    <m/>
    <m/>
    <m/>
    <m/>
  </r>
  <r>
    <s v="ALUFORCE"/>
    <d v="2026-01-23T00:00:00"/>
    <s v="NF"/>
    <n v="312"/>
    <s v="001"/>
    <s v="ILUMINACAO PAULISTANA SPE S/A"/>
    <s v="29.851.606/0001-12"/>
    <n v="80000"/>
    <x v="46"/>
    <s v="OPERADO"/>
    <s v="LEPTA"/>
    <m/>
    <x v="2"/>
    <n v="25"/>
    <m/>
    <m/>
    <m/>
    <m/>
    <m/>
    <m/>
  </r>
  <r>
    <s v="ALUFORCE"/>
    <d v="2026-01-23T00:00:00"/>
    <s v="NF"/>
    <n v="313"/>
    <s v="001"/>
    <s v="CLO 2 EMPREENDIMENTO IMOBILIARIO SPE LTDA"/>
    <s v="43.563.707/0001-19"/>
    <n v="12550"/>
    <x v="20"/>
    <s v="OPERADO"/>
    <s v="VALE RIO CLARO"/>
    <d v="2026-01-28T00:00:00"/>
    <x v="2"/>
    <n v="20"/>
    <m/>
    <m/>
    <m/>
    <m/>
    <m/>
    <m/>
  </r>
  <r>
    <s v="ALUFORCE"/>
    <d v="2026-01-26T00:00:00"/>
    <s v="F9"/>
    <n v="314"/>
    <s v="001"/>
    <s v="B C O COMERCIO"/>
    <s v="48.882.323/0001-82"/>
    <n v="3380"/>
    <x v="6"/>
    <s v="A VISTA"/>
    <s v="ALUFORCE"/>
    <d v="2026-01-16T00:00:00"/>
    <x v="0"/>
    <n v="-7"/>
    <s v="LIQUIDADO"/>
    <m/>
    <m/>
    <m/>
    <m/>
    <m/>
  </r>
  <r>
    <s v="ALUFORCE"/>
    <d v="2026-01-26T00:00:00"/>
    <s v="NF"/>
    <n v="314"/>
    <s v="001"/>
    <s v="B C O COMERCIO"/>
    <s v="48.882.323/0001-82"/>
    <n v="3380"/>
    <x v="6"/>
    <s v="A VISTA"/>
    <s v="ALUFORCE"/>
    <d v="2026-01-16T00:00:00"/>
    <x v="0"/>
    <n v="-7"/>
    <s v="LIQUIDADO"/>
    <m/>
    <m/>
    <m/>
    <m/>
    <m/>
  </r>
  <r>
    <s v="ALUFORCE"/>
    <d v="2026-01-26T00:00:00"/>
    <s v="F9"/>
    <n v="315"/>
    <s v="001"/>
    <s v="SOL LUZ COMERCIO DE MATERIAIS ELETRICOS LTDA "/>
    <s v="05.863.590/0001-08"/>
    <n v="511.67"/>
    <x v="35"/>
    <s v="OPERADO"/>
    <s v="H8"/>
    <d v="2026-01-30T00:00:00"/>
    <x v="2"/>
    <n v="21"/>
    <m/>
    <m/>
    <m/>
    <m/>
    <m/>
    <m/>
  </r>
  <r>
    <s v="ALUFORCE"/>
    <d v="2026-01-26T00:00:00"/>
    <s v="F9"/>
    <n v="315"/>
    <s v="002"/>
    <s v="SOL LUZ COMERCIO DE MATERIAIS ELETRICOS LTDA "/>
    <s v="05.863.590/0001-08"/>
    <n v="511.67"/>
    <x v="50"/>
    <s v="OPERADO"/>
    <s v="H8"/>
    <d v="2026-01-30T00:00:00"/>
    <x v="2"/>
    <n v="28"/>
    <m/>
    <m/>
    <m/>
    <m/>
    <m/>
    <m/>
  </r>
  <r>
    <s v="ALUFORCE"/>
    <d v="2026-01-26T00:00:00"/>
    <s v="F9"/>
    <n v="315"/>
    <s v="003"/>
    <s v="SOL LUZ COMERCIO DE MATERIAIS ELETRICOS LTDA "/>
    <s v="05.863.590/0001-08"/>
    <n v="511.67"/>
    <x v="21"/>
    <s v="OPERADO"/>
    <s v="H8"/>
    <d v="2026-01-30T00:00:00"/>
    <x v="2"/>
    <n v="35"/>
    <m/>
    <m/>
    <m/>
    <m/>
    <m/>
    <m/>
  </r>
  <r>
    <s v="ALUFORCE"/>
    <d v="2026-01-26T00:00:00"/>
    <s v="NF"/>
    <n v="315"/>
    <s v="001"/>
    <s v="SOL LUZ COMERCIO DE MATERIAIS ELETRICOS LTDA "/>
    <s v="05.863.590/0001-08"/>
    <n v="627.71"/>
    <x v="35"/>
    <s v="OPERADO"/>
    <s v="H8"/>
    <d v="2026-01-30T00:00:00"/>
    <x v="2"/>
    <n v="21"/>
    <m/>
    <m/>
    <m/>
    <m/>
    <m/>
    <m/>
  </r>
  <r>
    <s v="ALUFORCE"/>
    <d v="2026-01-26T00:00:00"/>
    <s v="NF"/>
    <n v="315"/>
    <s v="002"/>
    <s v="SOL LUZ COMERCIO DE MATERIAIS ELETRICOS LTDA "/>
    <s v="05.863.590/0001-08"/>
    <n v="511.67"/>
    <x v="50"/>
    <s v="OPERADO"/>
    <s v="H8"/>
    <d v="2026-01-30T00:00:00"/>
    <x v="2"/>
    <n v="28"/>
    <m/>
    <m/>
    <m/>
    <m/>
    <m/>
    <m/>
  </r>
  <r>
    <s v="ALUFORCE"/>
    <d v="2026-01-26T00:00:00"/>
    <s v="NF"/>
    <n v="315"/>
    <s v="003"/>
    <s v="SOL LUZ COMERCIO DE MATERIAIS ELETRICOS LTDA "/>
    <s v="05.863.590/0001-08"/>
    <n v="511.67"/>
    <x v="21"/>
    <s v="OPERADO"/>
    <s v="H8"/>
    <d v="2026-01-30T00:00:00"/>
    <x v="2"/>
    <n v="35"/>
    <m/>
    <m/>
    <m/>
    <m/>
    <m/>
    <m/>
  </r>
  <r>
    <s v="ALUFORCE"/>
    <d v="2026-01-26T00:00:00"/>
    <s v="NF"/>
    <n v="316"/>
    <s v="001"/>
    <s v="PRELUZ ELETRICIDADE E SERVICOS LTDA "/>
    <s v="20.596.400/0001-19"/>
    <n v="2189.91"/>
    <x v="35"/>
    <s v="OPERADO"/>
    <s v="CAPITAL ANNEX"/>
    <d v="2026-01-28T00:00:00"/>
    <x v="2"/>
    <n v="21"/>
    <m/>
    <m/>
    <m/>
    <m/>
    <m/>
    <m/>
  </r>
  <r>
    <s v="ALUFORCE"/>
    <d v="2026-01-26T00:00:00"/>
    <s v="NF"/>
    <n v="316"/>
    <s v="002"/>
    <s v="PRELUZ ELETRICIDADE E SERVICOS LTDA "/>
    <s v="20.596.400/0001-19"/>
    <n v="1556.67"/>
    <x v="50"/>
    <s v="OPERADO"/>
    <s v="CAPITAL ANNEX"/>
    <d v="2026-01-28T00:00:00"/>
    <x v="2"/>
    <n v="28"/>
    <m/>
    <m/>
    <m/>
    <m/>
    <m/>
    <m/>
  </r>
  <r>
    <s v="ALUFORCE"/>
    <d v="2026-01-26T00:00:00"/>
    <s v="NF"/>
    <n v="316"/>
    <s v="003"/>
    <s v="PRELUZ ELETRICIDADE E SERVICOS LTDA "/>
    <s v="20.596.400/0001-19"/>
    <n v="1566.67"/>
    <x v="21"/>
    <s v="OPERADO"/>
    <s v="CAPITAL ANNEX"/>
    <d v="2026-01-28T00:00:00"/>
    <x v="2"/>
    <n v="35"/>
    <m/>
    <m/>
    <m/>
    <m/>
    <m/>
    <m/>
  </r>
  <r>
    <s v="ALUFORCE"/>
    <d v="2026-01-26T00:00:00"/>
    <s v="NF"/>
    <n v="317"/>
    <s v="001"/>
    <s v="MUNDO ELETRICO BARRETOS COMERCIAL LTDA "/>
    <s v="16.436.794/0001-70"/>
    <n v="631.58000000000004"/>
    <x v="38"/>
    <s v="OPERADO"/>
    <s v="H8"/>
    <d v="2026-01-30T00:00:00"/>
    <x v="2"/>
    <n v="22"/>
    <m/>
    <m/>
    <m/>
    <m/>
    <m/>
    <m/>
  </r>
  <r>
    <s v="ALUFORCE"/>
    <d v="2026-01-26T00:00:00"/>
    <s v="NF"/>
    <n v="317"/>
    <s v="002"/>
    <s v="MUNDO ELETRICO BARRETOS COMERCIAL LTDA "/>
    <s v="16.436.794/0001-70"/>
    <n v="514.84"/>
    <x v="52"/>
    <s v="OPERADO"/>
    <s v="H8"/>
    <d v="2026-01-30T00:00:00"/>
    <x v="2"/>
    <n v="29"/>
    <m/>
    <m/>
    <m/>
    <m/>
    <m/>
    <m/>
  </r>
  <r>
    <s v="ALUFORCE"/>
    <d v="2026-01-26T00:00:00"/>
    <s v="NF"/>
    <n v="317"/>
    <s v="003"/>
    <s v="MUNDO ELETRICO BARRETOS COMERCIAL LTDA "/>
    <s v="16.436.794/0001-70"/>
    <n v="514.84"/>
    <x v="33"/>
    <s v="OPERADO"/>
    <s v="H8"/>
    <d v="2026-01-30T00:00:00"/>
    <x v="2"/>
    <n v="36"/>
    <m/>
    <m/>
    <m/>
    <m/>
    <m/>
    <m/>
  </r>
  <r>
    <s v="ALUFORCE"/>
    <d v="2026-01-26T00:00:00"/>
    <s v="F9"/>
    <n v="317"/>
    <s v="001"/>
    <s v="MUNDO ELETRICO BARRETOS COMERCIAL LTDA "/>
    <s v="16.436.794/0001-70"/>
    <n v="514.84"/>
    <x v="38"/>
    <s v="OPERADO"/>
    <s v="H8"/>
    <d v="2026-01-30T00:00:00"/>
    <x v="2"/>
    <n v="22"/>
    <m/>
    <m/>
    <m/>
    <m/>
    <m/>
    <m/>
  </r>
  <r>
    <s v="ALUFORCE"/>
    <d v="2026-01-26T00:00:00"/>
    <s v="F9"/>
    <n v="317"/>
    <s v="002"/>
    <s v="MUNDO ELETRICO BARRETOS COMERCIAL LTDA "/>
    <s v="16.436.794/0001-70"/>
    <n v="514.84"/>
    <x v="52"/>
    <s v="OPERADO"/>
    <s v="H8"/>
    <d v="2026-01-30T00:00:00"/>
    <x v="2"/>
    <n v="29"/>
    <m/>
    <m/>
    <m/>
    <m/>
    <m/>
    <m/>
  </r>
  <r>
    <s v="ALUFORCE"/>
    <d v="2026-01-26T00:00:00"/>
    <s v="F9"/>
    <n v="317"/>
    <s v="003"/>
    <s v="MUNDO ELETRICO BARRETOS COMERCIAL LTDA "/>
    <s v="16.436.794/0001-70"/>
    <n v="514.84"/>
    <x v="33"/>
    <s v="OPERADO"/>
    <s v="H8"/>
    <d v="2026-01-30T00:00:00"/>
    <x v="2"/>
    <n v="36"/>
    <m/>
    <m/>
    <m/>
    <m/>
    <m/>
    <m/>
  </r>
  <r>
    <s v="ALUFORCE"/>
    <d v="2026-01-26T00:00:00"/>
    <s v="NF"/>
    <n v="318"/>
    <s v="001"/>
    <s v="RIGO MATERIAIS ELETRICOS E HIDRAULICOS LTDA "/>
    <s v="08.517.938/0001-95"/>
    <n v="2163.33"/>
    <x v="35"/>
    <s v="OPERADO"/>
    <s v="CAPITAL ANNEX"/>
    <d v="2026-01-28T00:00:00"/>
    <x v="2"/>
    <n v="21"/>
    <m/>
    <m/>
    <m/>
    <m/>
    <m/>
    <m/>
  </r>
  <r>
    <s v="ALUFORCE"/>
    <d v="2026-01-26T00:00:00"/>
    <s v="NF"/>
    <n v="318"/>
    <s v="002"/>
    <s v="RIGO MATERIAIS ELETRICOS E HIDRAULICOS LTDA "/>
    <s v="08.517.938/0001-95"/>
    <n v="2163.33"/>
    <x v="50"/>
    <s v="OPERADO"/>
    <s v="CAPITAL ANNEX"/>
    <d v="2026-01-28T00:00:00"/>
    <x v="2"/>
    <n v="28"/>
    <m/>
    <m/>
    <m/>
    <m/>
    <m/>
    <m/>
  </r>
  <r>
    <s v="ALUFORCE"/>
    <d v="2026-01-26T00:00:00"/>
    <s v="NF"/>
    <n v="318"/>
    <s v="003"/>
    <s v="RIGO MATERIAIS ELETRICOS E HIDRAULICOS LTDA "/>
    <s v="08.517.938/0001-95"/>
    <n v="2163.33"/>
    <x v="21"/>
    <s v="OPERADO"/>
    <s v="CAPITAL ANNEX"/>
    <d v="2026-01-28T00:00:00"/>
    <x v="2"/>
    <n v="35"/>
    <m/>
    <m/>
    <m/>
    <m/>
    <m/>
    <m/>
  </r>
  <r>
    <s v="ALUFORCE"/>
    <d v="2026-01-26T00:00:00"/>
    <s v="NF"/>
    <n v="319"/>
    <s v="001"/>
    <s v="G M DA SILVA LTDA "/>
    <s v="19.539.895/0001-65"/>
    <n v="3903.33"/>
    <x v="38"/>
    <s v="OPERADO"/>
    <s v="CAPITAL ANNEX"/>
    <d v="2026-01-28T00:00:00"/>
    <x v="2"/>
    <n v="22"/>
    <m/>
    <m/>
    <m/>
    <m/>
    <m/>
    <m/>
  </r>
  <r>
    <s v="ALUFORCE"/>
    <d v="2026-01-26T00:00:00"/>
    <s v="NF"/>
    <n v="319"/>
    <s v="002"/>
    <s v="G M DA SILVA LTDA "/>
    <s v="19.539.895/0001-65"/>
    <n v="3903.33"/>
    <x v="52"/>
    <s v="OPERADO"/>
    <s v="CAPITAL ANNEX"/>
    <d v="2026-01-28T00:00:00"/>
    <x v="2"/>
    <n v="29"/>
    <m/>
    <m/>
    <m/>
    <m/>
    <m/>
    <m/>
  </r>
  <r>
    <s v="ALUFORCE"/>
    <d v="2026-01-26T00:00:00"/>
    <s v="NF"/>
    <n v="319"/>
    <s v="003"/>
    <s v="G M DA SILVA LTDA "/>
    <s v="19.539.895/0001-65"/>
    <n v="3903.33"/>
    <x v="33"/>
    <s v="OPERADO"/>
    <s v="CAPITAL ANNEX"/>
    <d v="2026-01-28T00:00:00"/>
    <x v="2"/>
    <n v="36"/>
    <m/>
    <m/>
    <m/>
    <m/>
    <m/>
    <m/>
  </r>
  <r>
    <s v="ALUFORCE"/>
    <d v="2026-01-27T00:00:00"/>
    <s v="F9"/>
    <n v="320"/>
    <s v="001"/>
    <s v="VALTER ARAUJO NAVES "/>
    <n v="843474200137"/>
    <n v="6786"/>
    <x v="57"/>
    <s v="A VISTA"/>
    <s v="ALUFORCE"/>
    <d v="2026-01-27T00:00:00"/>
    <x v="0"/>
    <n v="-6"/>
    <s v="LIQUIDADO"/>
    <m/>
    <m/>
    <m/>
    <m/>
    <m/>
  </r>
  <r>
    <s v="ALUFORCE"/>
    <d v="2026-01-27T00:00:00"/>
    <s v="NF"/>
    <n v="320"/>
    <s v="001"/>
    <s v="VALTER ARAUJO NAVES "/>
    <n v="843474200137"/>
    <n v="809.17"/>
    <x v="57"/>
    <s v="A VISTA"/>
    <s v="ALUFORCE"/>
    <d v="2026-01-27T00:00:00"/>
    <x v="0"/>
    <n v="-6"/>
    <s v="LIQUIDADO"/>
    <m/>
    <m/>
    <m/>
    <m/>
    <m/>
  </r>
  <r>
    <s v="ALUFORCE"/>
    <d v="2026-01-27T00:00:00"/>
    <s v="NF"/>
    <n v="321"/>
    <s v="001"/>
    <s v="ELETRO CABRAL COMERCIO E SERVICOS DE MATERIAIS ELETRICOS LTDA"/>
    <n v="25967193000185"/>
    <n v="690"/>
    <x v="38"/>
    <s v="OPERADO"/>
    <s v="H8"/>
    <d v="2026-01-30T00:00:00"/>
    <x v="2"/>
    <n v="22"/>
    <m/>
    <m/>
    <m/>
    <m/>
    <m/>
    <m/>
  </r>
  <r>
    <s v="ALUFORCE"/>
    <d v="2026-01-27T00:00:00"/>
    <s v="NF"/>
    <n v="321"/>
    <s v="002"/>
    <s v="ELETRO CABRAL COMERCIO E SERVICOS DE MATERIAIS ELETRICOS LTDA"/>
    <n v="25967193000185"/>
    <n v="690"/>
    <x v="52"/>
    <s v="OPERADO"/>
    <s v="H8"/>
    <d v="2026-01-30T00:00:00"/>
    <x v="2"/>
    <n v="29"/>
    <m/>
    <m/>
    <m/>
    <m/>
    <m/>
    <m/>
  </r>
  <r>
    <s v="ALUFORCE"/>
    <d v="2026-01-27T00:00:00"/>
    <s v="NF"/>
    <n v="321"/>
    <s v="003"/>
    <s v="ELETRO CABRAL COMERCIO E SERVICOS DE MATERIAIS ELETRICOS LTDA"/>
    <n v="25967193000185"/>
    <n v="690"/>
    <x v="33"/>
    <s v="OPERADO"/>
    <s v="H8"/>
    <d v="2026-01-30T00:00:00"/>
    <x v="2"/>
    <n v="36"/>
    <m/>
    <m/>
    <m/>
    <m/>
    <m/>
    <m/>
  </r>
  <r>
    <s v="ALUFORCE"/>
    <d v="2026-01-27T00:00:00"/>
    <s v="F9"/>
    <n v="321"/>
    <s v="001"/>
    <s v="ELETRO CABRAL COMERCIO E SERVICOS DE MATERIAIS ELETRICOS LTDA"/>
    <n v="25967193000185"/>
    <n v="690"/>
    <x v="38"/>
    <s v="OPERADO"/>
    <s v="H8"/>
    <d v="2026-01-30T00:00:00"/>
    <x v="2"/>
    <n v="22"/>
    <m/>
    <m/>
    <m/>
    <m/>
    <m/>
    <m/>
  </r>
  <r>
    <s v="ALUFORCE"/>
    <d v="2026-01-27T00:00:00"/>
    <s v="F9"/>
    <n v="321"/>
    <s v="002"/>
    <s v="ELETRO CABRAL COMERCIO E SERVICOS DE MATERIAIS ELETRICOS LTDA"/>
    <n v="25967193000185"/>
    <n v="690"/>
    <x v="52"/>
    <s v="OPERADO"/>
    <s v="H8"/>
    <d v="2026-01-30T00:00:00"/>
    <x v="2"/>
    <n v="29"/>
    <m/>
    <m/>
    <m/>
    <m/>
    <m/>
    <m/>
  </r>
  <r>
    <s v="ALUFORCE"/>
    <d v="2026-01-27T00:00:00"/>
    <s v="F9"/>
    <n v="321"/>
    <s v="003"/>
    <s v="ELETRO CABRAL COMERCIO E SERVICOS DE MATERIAIS ELETRICOS LTDA"/>
    <n v="25967193000185"/>
    <n v="690"/>
    <x v="33"/>
    <s v="OPERADO"/>
    <s v="H8"/>
    <d v="2026-01-30T00:00:00"/>
    <x v="2"/>
    <n v="36"/>
    <m/>
    <m/>
    <m/>
    <m/>
    <m/>
    <m/>
  </r>
  <r>
    <s v="ALUFORCE"/>
    <d v="2026-01-27T00:00:00"/>
    <s v="NF"/>
    <n v="322"/>
    <s v="001"/>
    <s v="COMERCIO MARTINS LTDA"/>
    <n v="20891953000102"/>
    <n v="2355"/>
    <x v="48"/>
    <s v="OPERADO"/>
    <s v="H8"/>
    <d v="2026-01-30T00:00:00"/>
    <x v="2"/>
    <n v="39"/>
    <m/>
    <m/>
    <m/>
    <m/>
    <m/>
    <m/>
  </r>
  <r>
    <s v="ALUFORCE"/>
    <d v="2026-01-27T00:00:00"/>
    <s v="F9"/>
    <n v="322"/>
    <s v="001"/>
    <s v="COMERCIO MARTINS LTDA"/>
    <n v="20891953000102"/>
    <n v="2355"/>
    <x v="48"/>
    <s v="OPERADO"/>
    <s v="H8"/>
    <d v="2026-01-30T00:00:00"/>
    <x v="2"/>
    <n v="39"/>
    <m/>
    <m/>
    <m/>
    <m/>
    <m/>
    <m/>
  </r>
  <r>
    <s v="LABOR"/>
    <d v="2025-12-05T00:00:00"/>
    <s v="NF"/>
    <s v="4269"/>
    <s v="002"/>
    <s v="IM CONDUTORES ELETRICOS LTDA"/>
    <s v="30.525.936/0001-05"/>
    <n v="594.38"/>
    <x v="3"/>
    <s v="OPERADO"/>
    <s v="H8"/>
    <m/>
    <x v="0"/>
    <n v="-21"/>
    <s v="LIQUIDADO"/>
    <m/>
    <m/>
    <m/>
    <m/>
    <m/>
  </r>
  <r>
    <s v="LABOR"/>
    <d v="2025-12-05T00:00:00"/>
    <s v="F9"/>
    <s v="4269"/>
    <s v="002"/>
    <s v="IM CONDUTORES ELETRICOS LTDA"/>
    <s v="30.525.936/0001-05"/>
    <n v="594.38"/>
    <x v="3"/>
    <s v="OPERADO"/>
    <s v="H8"/>
    <m/>
    <x v="0"/>
    <n v="-21"/>
    <s v="LIQUIDADO"/>
    <m/>
    <m/>
    <m/>
    <m/>
    <m/>
  </r>
  <r>
    <s v="LABOR"/>
    <d v="2025-12-05T00:00:00"/>
    <s v="NF"/>
    <s v="4270"/>
    <s v="002"/>
    <s v="R.A. MATERIAIS ELETRICOS E DECORACOES LTDA"/>
    <s v="12.659.075/0001-68"/>
    <n v="1402"/>
    <x v="3"/>
    <s v="OPERADO"/>
    <s v="H8"/>
    <m/>
    <x v="0"/>
    <n v="-21"/>
    <s v="LIQUIDADO"/>
    <m/>
    <m/>
    <m/>
    <m/>
    <m/>
  </r>
  <r>
    <s v="ALUFORCE"/>
    <d v="2026-01-28T00:00:00"/>
    <s v="NF"/>
    <n v="323"/>
    <s v="001"/>
    <s v="CLO 2 EMPREENDIMENTO IMOBILIARIO SPE LTDA"/>
    <s v="43.563.707/0001-19"/>
    <n v="27610"/>
    <x v="58"/>
    <s v="OPERADO"/>
    <s v="AUGURI"/>
    <d v="2026-01-29T00:00:00"/>
    <x v="2"/>
    <n v="27"/>
    <m/>
    <m/>
    <m/>
    <m/>
    <m/>
    <m/>
  </r>
  <r>
    <s v="ALUFORCE"/>
    <d v="2026-01-28T00:00:00"/>
    <s v="NF"/>
    <n v="324"/>
    <s v="001"/>
    <s v="ALT MATERIAIS ELETRICOS LTDA "/>
    <n v="48785341000146"/>
    <n v="6566.67"/>
    <x v="52"/>
    <s v="OPERADO"/>
    <s v="CAPITAL ANNEX"/>
    <d v="2026-01-28T00:00:00"/>
    <x v="2"/>
    <n v="29"/>
    <m/>
    <m/>
    <m/>
    <m/>
    <m/>
    <m/>
  </r>
  <r>
    <s v="ALUFORCE"/>
    <d v="2026-01-28T00:00:00"/>
    <s v="NF"/>
    <n v="324"/>
    <s v="002"/>
    <s v="ALT MATERIAIS ELETRICOS LTDA "/>
    <n v="48785341000146"/>
    <n v="6566.97"/>
    <x v="33"/>
    <s v="OPERADO"/>
    <s v="CAPITAL ANNEX"/>
    <d v="2026-01-28T00:00:00"/>
    <x v="2"/>
    <n v="36"/>
    <m/>
    <m/>
    <m/>
    <m/>
    <m/>
    <m/>
  </r>
  <r>
    <s v="ALUFORCE"/>
    <d v="2026-01-28T00:00:00"/>
    <s v="NF"/>
    <n v="324"/>
    <s v="003"/>
    <s v="ALT MATERIAIS ELETRICOS LTDA "/>
    <n v="48785341000146"/>
    <n v="6566.97"/>
    <x v="55"/>
    <s v="OPERADO"/>
    <s v="CAPITAL ANNEX"/>
    <d v="2026-01-28T00:00:00"/>
    <x v="2"/>
    <n v="43"/>
    <m/>
    <m/>
    <m/>
    <m/>
    <m/>
    <m/>
  </r>
  <r>
    <s v="ALUFORCE"/>
    <d v="2026-01-28T00:00:00"/>
    <s v="NF"/>
    <n v="325"/>
    <s v="001"/>
    <s v="ELETRON COMERCIO DE PECAS E GERADORES LTDA"/>
    <n v="3301594300147"/>
    <n v="4540"/>
    <x v="52"/>
    <s v="OPERADO"/>
    <s v="VALE RIO CLARO"/>
    <d v="2026-01-28T00:00:00"/>
    <x v="2"/>
    <n v="29"/>
    <m/>
    <m/>
    <m/>
    <m/>
    <m/>
    <m/>
  </r>
  <r>
    <s v="ALUFORCE"/>
    <d v="2026-01-28T00:00:00"/>
    <s v="NF"/>
    <n v="325"/>
    <s v="002"/>
    <s v="ELETRON COMERCIO DE PECAS E GERADORES LTDA"/>
    <n v="3301594300147"/>
    <n v="4540"/>
    <x v="33"/>
    <s v="OPERADO"/>
    <s v="VALE RIO CLARO"/>
    <d v="2026-01-28T00:00:00"/>
    <x v="2"/>
    <n v="36"/>
    <m/>
    <m/>
    <m/>
    <m/>
    <m/>
    <m/>
  </r>
  <r>
    <s v="ALUFORCE"/>
    <d v="2026-01-28T00:00:00"/>
    <s v="NF"/>
    <n v="325"/>
    <s v="003"/>
    <s v="ELETRON COMERCIO DE PECAS E GERADORES LTDA"/>
    <n v="3301594300147"/>
    <n v="4540"/>
    <x v="55"/>
    <s v="OPERADO"/>
    <s v="VALE RIO CLARO"/>
    <d v="2026-01-28T00:00:00"/>
    <x v="2"/>
    <n v="43"/>
    <m/>
    <m/>
    <m/>
    <m/>
    <m/>
    <m/>
  </r>
  <r>
    <s v="ALUFORCE"/>
    <d v="2026-01-28T00:00:00"/>
    <s v="NF"/>
    <n v="326"/>
    <s v="001"/>
    <s v="X7 PADROES LTDA "/>
    <n v="42203674000133"/>
    <n v="2773.2"/>
    <x v="51"/>
    <s v="OPERADO"/>
    <s v="CAPITAL ANNEX"/>
    <d v="2026-01-28T00:00:00"/>
    <x v="2"/>
    <n v="30"/>
    <m/>
    <m/>
    <m/>
    <m/>
    <m/>
    <m/>
  </r>
  <r>
    <s v="ALUFORCE"/>
    <d v="2026-01-28T00:00:00"/>
    <s v="NF"/>
    <n v="326"/>
    <s v="002"/>
    <s v="X7 PADROES LTDA "/>
    <n v="42203674000133"/>
    <n v="2773.2"/>
    <x v="41"/>
    <s v="OPERADO"/>
    <s v="CAPITAL ANNEX"/>
    <d v="2026-01-28T00:00:00"/>
    <x v="2"/>
    <n v="37"/>
    <m/>
    <m/>
    <m/>
    <m/>
    <m/>
    <m/>
  </r>
  <r>
    <s v="ALUFORCE"/>
    <d v="2026-01-28T00:00:00"/>
    <s v="NF"/>
    <n v="326"/>
    <s v="003"/>
    <s v="X7 PADROES LTDA "/>
    <n v="42203674000133"/>
    <n v="2773.2"/>
    <x v="59"/>
    <s v="OPERADO"/>
    <s v="CAPITAL ANNEX"/>
    <d v="2026-01-28T00:00:00"/>
    <x v="2"/>
    <n v="44"/>
    <m/>
    <m/>
    <m/>
    <m/>
    <m/>
    <m/>
  </r>
  <r>
    <s v="LABOR"/>
    <d v="2025-12-05T00:00:00"/>
    <s v="NF"/>
    <s v="4271"/>
    <s v="001"/>
    <s v="R.A. MATERIAIS ELETRICOS E DECORACOES LTDA"/>
    <s v="12.659.075/0001-68"/>
    <n v="2142"/>
    <x v="3"/>
    <s v="OPERADO"/>
    <s v="H8"/>
    <m/>
    <x v="0"/>
    <n v="-21"/>
    <s v="LIQUIDADO"/>
    <m/>
    <m/>
    <m/>
    <m/>
    <m/>
  </r>
  <r>
    <s v="ALUFORCE"/>
    <d v="2025-12-05T00:00:00"/>
    <s v="NF"/>
    <s v="226"/>
    <s v="003"/>
    <s v="COMERCIAL ELETRICA PAPIRO LTDA"/>
    <m/>
    <n v="1094.5"/>
    <x v="8"/>
    <s v="OPERADO"/>
    <s v="H8"/>
    <m/>
    <x v="0"/>
    <n v="-20"/>
    <s v="LIQUIDADO"/>
    <m/>
    <m/>
    <m/>
    <m/>
    <m/>
  </r>
  <r>
    <s v="ALUFORCE"/>
    <d v="2026-01-28T00:00:00"/>
    <s v="NF"/>
    <n v="327"/>
    <s v="001"/>
    <s v="ELETRICA BEL MATERIAIS ELETRICOS LTDA"/>
    <n v="58246059000144"/>
    <n v="1915.85"/>
    <x v="47"/>
    <s v="DISPONÍVEL"/>
    <m/>
    <m/>
    <x v="2"/>
    <n v="32"/>
    <m/>
    <m/>
    <m/>
    <m/>
    <m/>
    <m/>
  </r>
  <r>
    <s v="ALUFORCE"/>
    <d v="2026-01-28T00:00:00"/>
    <s v="NF"/>
    <n v="327"/>
    <s v="002"/>
    <s v="ELETRICA BEL MATERIAIS ELETRICOS LTDA"/>
    <n v="58246059000144"/>
    <n v="1561.67"/>
    <x v="60"/>
    <s v="DISPONÍVEL"/>
    <m/>
    <m/>
    <x v="2"/>
    <n v="47"/>
    <m/>
    <m/>
    <m/>
    <m/>
    <m/>
    <m/>
  </r>
  <r>
    <s v="ALUFORCE"/>
    <d v="2026-01-28T00:00:00"/>
    <s v="NF"/>
    <n v="327"/>
    <s v="003"/>
    <s v="ELETRICA BEL MATERIAIS ELETRICOS LTDA"/>
    <n v="58246059000144"/>
    <n v="1561.67"/>
    <x v="61"/>
    <s v="DISPONÍVEL"/>
    <m/>
    <m/>
    <x v="2"/>
    <n v="62"/>
    <m/>
    <m/>
    <m/>
    <m/>
    <m/>
    <m/>
  </r>
  <r>
    <s v="ALUFORCE"/>
    <d v="2026-01-28T00:00:00"/>
    <s v="NF"/>
    <n v="328"/>
    <s v="001"/>
    <s v="BRASIL AUTOMACAO INDUSTRIAL LTDA"/>
    <n v="12716331000100"/>
    <n v="2177.5"/>
    <x v="47"/>
    <s v="OPERADO"/>
    <s v="CAPITAL ANNEX"/>
    <d v="2026-01-29T00:00:00"/>
    <x v="2"/>
    <n v="32"/>
    <m/>
    <m/>
    <m/>
    <m/>
    <m/>
    <m/>
  </r>
  <r>
    <s v="ALUFORCE"/>
    <d v="2026-01-28T00:00:00"/>
    <s v="NF"/>
    <n v="328"/>
    <s v="002"/>
    <s v="BRASIL AUTOMACAO INDUSTRIAL LTDA"/>
    <n v="12716331000100"/>
    <n v="2177.5"/>
    <x v="61"/>
    <s v="OPERADO"/>
    <s v="CAPITAL ANNEX"/>
    <d v="2026-01-29T00:00:00"/>
    <x v="2"/>
    <n v="62"/>
    <m/>
    <m/>
    <m/>
    <m/>
    <m/>
    <m/>
  </r>
  <r>
    <s v="ALUFORCE"/>
    <d v="2026-01-28T00:00:00"/>
    <s v="NF"/>
    <n v="329"/>
    <s v="001"/>
    <s v="LUZ ATUAL ILUMINACAO LTDA"/>
    <n v="20112049000143"/>
    <n v="3171.28"/>
    <x v="52"/>
    <s v="OPERADO"/>
    <s v="CAPITAL ANNEX"/>
    <d v="2026-01-29T00:00:00"/>
    <x v="2"/>
    <n v="29"/>
    <m/>
    <m/>
    <m/>
    <m/>
    <m/>
    <m/>
  </r>
  <r>
    <s v="ALUFORCE"/>
    <d v="2026-01-28T00:00:00"/>
    <s v="NF"/>
    <n v="329"/>
    <s v="002"/>
    <s v="LUZ ATUAL ILUMINACAO LTDA"/>
    <n v="20112049000143"/>
    <n v="2585"/>
    <x v="33"/>
    <s v="OPERADO"/>
    <s v="CAPITAL ANNEX"/>
    <d v="2026-01-29T00:00:00"/>
    <x v="2"/>
    <n v="36"/>
    <m/>
    <m/>
    <m/>
    <m/>
    <m/>
    <m/>
  </r>
  <r>
    <s v="ALUFORCE"/>
    <d v="2026-01-28T00:00:00"/>
    <s v="NF"/>
    <n v="329"/>
    <s v="003"/>
    <s v="LUZ ATUAL ILUMINACAO LTDA"/>
    <n v="20112049000143"/>
    <n v="2585"/>
    <x v="55"/>
    <s v="OPERADO"/>
    <s v="CAPITAL ANNEX"/>
    <d v="2026-01-29T00:00:00"/>
    <x v="2"/>
    <n v="43"/>
    <m/>
    <m/>
    <m/>
    <m/>
    <m/>
    <m/>
  </r>
  <r>
    <s v="ALUFORCE"/>
    <d v="2026-01-29T00:00:00"/>
    <s v="NF"/>
    <n v="331"/>
    <s v="001"/>
    <s v="ELETRICA JACUIPE LTDA "/>
    <n v="50384738000178"/>
    <n v="3930.47"/>
    <x v="47"/>
    <s v="OPERADO"/>
    <s v="CAPITAL ANNEX"/>
    <d v="2026-01-29T00:00:00"/>
    <x v="2"/>
    <n v="32"/>
    <m/>
    <m/>
    <m/>
    <m/>
    <m/>
    <m/>
  </r>
  <r>
    <s v="ALUFORCE"/>
    <d v="2026-01-29T00:00:00"/>
    <s v="NF"/>
    <n v="331"/>
    <s v="002"/>
    <s v="ELETRICA JACUIPE LTDA "/>
    <n v="50384738000178"/>
    <n v="3930.47"/>
    <x v="48"/>
    <s v="OPERADO"/>
    <s v="CAPITAL ANNEX"/>
    <d v="2026-01-29T00:00:00"/>
    <x v="2"/>
    <n v="39"/>
    <m/>
    <m/>
    <m/>
    <m/>
    <m/>
    <m/>
  </r>
  <r>
    <s v="ALUFORCE"/>
    <d v="2026-01-29T00:00:00"/>
    <s v="NF"/>
    <n v="331"/>
    <s v="003"/>
    <s v="ELETRICA JACUIPE LTDA "/>
    <n v="50384738000178"/>
    <n v="3930.47"/>
    <x v="49"/>
    <s v="OPERADO"/>
    <s v="CAPITAL ANNEX"/>
    <d v="2026-01-29T00:00:00"/>
    <x v="2"/>
    <n v="46"/>
    <m/>
    <m/>
    <m/>
    <m/>
    <m/>
    <m/>
  </r>
  <r>
    <s v="ALUFORCE"/>
    <d v="2026-01-29T00:00:00"/>
    <s v="NF"/>
    <n v="332"/>
    <s v="001"/>
    <s v="COMERCIAL MARTINS LTDA "/>
    <n v="20891953000102"/>
    <n v="5770"/>
    <x v="62"/>
    <s v="OPERADO"/>
    <s v="H8"/>
    <d v="2026-01-30T00:00:00"/>
    <x v="2"/>
    <n v="42"/>
    <m/>
    <m/>
    <m/>
    <m/>
    <m/>
    <m/>
  </r>
  <r>
    <s v="ALUFORCE"/>
    <d v="2026-01-29T00:00:00"/>
    <s v="F9"/>
    <n v="332"/>
    <s v="001"/>
    <s v="COMERCIAL MARTINS LTDA "/>
    <n v="20891953000102"/>
    <n v="5770"/>
    <x v="62"/>
    <s v="OPERADO"/>
    <s v="H8"/>
    <d v="2026-01-30T00:00:00"/>
    <x v="2"/>
    <n v="42"/>
    <m/>
    <m/>
    <m/>
    <m/>
    <m/>
    <m/>
  </r>
  <r>
    <s v="ALUFORCE"/>
    <d v="2026-01-29T00:00:00"/>
    <s v="F9"/>
    <n v="334"/>
    <s v="001"/>
    <s v="DISTRIBUIDORA KANAL LTDA "/>
    <n v="4422140000109"/>
    <n v="2431.33"/>
    <x v="26"/>
    <s v="OPERADO"/>
    <s v="H8"/>
    <d v="2026-01-30T00:00:00"/>
    <x v="2"/>
    <n v="31"/>
    <m/>
    <m/>
    <m/>
    <m/>
    <m/>
    <m/>
  </r>
  <r>
    <s v="ALUFORCE"/>
    <d v="2026-01-29T00:00:00"/>
    <s v="F9"/>
    <n v="334"/>
    <s v="002"/>
    <s v="DISTRIBUIDORA KANAL LTDA "/>
    <n v="4422140000109"/>
    <n v="2431.33"/>
    <x v="39"/>
    <s v="OPERADO"/>
    <s v="H8"/>
    <d v="2026-01-30T00:00:00"/>
    <x v="2"/>
    <n v="38"/>
    <m/>
    <m/>
    <m/>
    <m/>
    <m/>
    <m/>
  </r>
  <r>
    <s v="ALUFORCE"/>
    <d v="2026-01-29T00:00:00"/>
    <s v="F9"/>
    <n v="334"/>
    <s v="003"/>
    <s v="DISTRIBUIDORA KANAL LTDA "/>
    <n v="4422140000109"/>
    <n v="2431.33"/>
    <x v="40"/>
    <s v="OPERADO"/>
    <s v="H8"/>
    <d v="2026-01-30T00:00:00"/>
    <x v="2"/>
    <n v="45"/>
    <m/>
    <m/>
    <m/>
    <m/>
    <m/>
    <m/>
  </r>
  <r>
    <s v="ALUFORCE"/>
    <d v="2026-01-29T00:00:00"/>
    <s v="NF"/>
    <n v="334"/>
    <s v="001"/>
    <s v="DISTRIBUIDORA KANAL LTDA "/>
    <n v="4422140000109"/>
    <n v="1270.73"/>
    <x v="26"/>
    <s v="OPERADO"/>
    <s v="H8"/>
    <d v="2026-01-30T00:00:00"/>
    <x v="2"/>
    <n v="31"/>
    <m/>
    <m/>
    <m/>
    <m/>
    <m/>
    <m/>
  </r>
  <r>
    <s v="ALUFORCE"/>
    <d v="2026-01-29T00:00:00"/>
    <s v="NF"/>
    <n v="334"/>
    <s v="002"/>
    <s v="DISTRIBUIDORA KANAL LTDA "/>
    <n v="4422140000109"/>
    <n v="1042"/>
    <x v="39"/>
    <s v="OPERADO"/>
    <s v="H8"/>
    <d v="2026-01-30T00:00:00"/>
    <x v="2"/>
    <n v="38"/>
    <m/>
    <m/>
    <m/>
    <m/>
    <m/>
    <m/>
  </r>
  <r>
    <s v="ALUFORCE"/>
    <d v="2026-01-29T00:00:00"/>
    <s v="NF"/>
    <n v="334"/>
    <s v="003"/>
    <s v="DISTRIBUIDORA KANAL LTDA "/>
    <n v="4422140000109"/>
    <n v="1042"/>
    <x v="40"/>
    <s v="OPERADO"/>
    <s v="H8"/>
    <d v="2026-01-30T00:00:00"/>
    <x v="2"/>
    <n v="45"/>
    <m/>
    <m/>
    <m/>
    <m/>
    <m/>
    <m/>
  </r>
  <r>
    <s v="ALUFORCE"/>
    <d v="2026-01-29T00:00:00"/>
    <s v="F9"/>
    <n v="335"/>
    <s v="001"/>
    <s v="ELETRO XV MATERIAIS ELETRICOS LTDA "/>
    <n v="40930469000144"/>
    <n v="625.84"/>
    <x v="52"/>
    <s v="OPERADO"/>
    <s v="H8"/>
    <d v="2026-01-30T00:00:00"/>
    <x v="2"/>
    <n v="29"/>
    <m/>
    <m/>
    <m/>
    <m/>
    <m/>
    <m/>
  </r>
  <r>
    <s v="ALUFORCE"/>
    <d v="2026-01-29T00:00:00"/>
    <s v="F9"/>
    <n v="335"/>
    <s v="002"/>
    <s v="ELETRO XV MATERIAIS ELETRICOS LTDA "/>
    <n v="40930469000144"/>
    <n v="625.84"/>
    <x v="33"/>
    <s v="OPERADO"/>
    <s v="H8"/>
    <d v="2026-01-30T00:00:00"/>
    <x v="2"/>
    <n v="36"/>
    <m/>
    <m/>
    <m/>
    <m/>
    <m/>
    <m/>
  </r>
  <r>
    <s v="ALUFORCE"/>
    <d v="2026-01-29T00:00:00"/>
    <s v="F9"/>
    <n v="335"/>
    <s v="003"/>
    <s v="ELETRO XV MATERIAIS ELETRICOS LTDA "/>
    <n v="40930469000144"/>
    <n v="625.84"/>
    <x v="55"/>
    <s v="OPERADO"/>
    <s v="H8"/>
    <d v="2026-01-30T00:00:00"/>
    <x v="2"/>
    <n v="43"/>
    <m/>
    <m/>
    <m/>
    <m/>
    <m/>
    <m/>
  </r>
  <r>
    <s v="ALUFORCE"/>
    <d v="2026-01-29T00:00:00"/>
    <s v="NF"/>
    <n v="335"/>
    <s v="001"/>
    <s v="ELETRO XV MATERIAIS ELETRICOS LTDA "/>
    <n v="40930469000144"/>
    <n v="813.58"/>
    <x v="52"/>
    <s v="OPERADO"/>
    <s v="H8"/>
    <d v="2026-01-30T00:00:00"/>
    <x v="2"/>
    <n v="29"/>
    <m/>
    <m/>
    <m/>
    <m/>
    <m/>
    <m/>
  </r>
  <r>
    <s v="ALUFORCE"/>
    <d v="2026-01-29T00:00:00"/>
    <s v="NF"/>
    <n v="335"/>
    <s v="002"/>
    <s v="ELETRO XV MATERIAIS ELETRICOS LTDA "/>
    <n v="40930469000144"/>
    <n v="625.84"/>
    <x v="33"/>
    <s v="OPERADO"/>
    <s v="H8"/>
    <d v="2026-01-30T00:00:00"/>
    <x v="2"/>
    <n v="36"/>
    <m/>
    <m/>
    <m/>
    <m/>
    <m/>
    <m/>
  </r>
  <r>
    <s v="ALUFORCE"/>
    <d v="2026-01-29T00:00:00"/>
    <s v="NF"/>
    <n v="335"/>
    <s v="003"/>
    <s v="ELETRO XV MATERIAIS ELETRICOS LTDA "/>
    <n v="40930469000144"/>
    <n v="625.83000000000004"/>
    <x v="55"/>
    <s v="OPERADO"/>
    <s v="H8"/>
    <d v="2026-01-30T00:00:00"/>
    <x v="2"/>
    <n v="43"/>
    <m/>
    <m/>
    <m/>
    <m/>
    <m/>
    <m/>
  </r>
  <r>
    <s v="ALUFORCE"/>
    <d v="2026-01-29T00:00:00"/>
    <s v="F9"/>
    <n v="336"/>
    <s v="001"/>
    <s v="MNS MOREIRA COMERCIO DE ILUMINACAO LTDA"/>
    <n v="875266000130"/>
    <n v="6220.07"/>
    <x v="47"/>
    <s v="OPERADO"/>
    <s v="H8"/>
    <d v="2026-01-30T00:00:00"/>
    <x v="2"/>
    <n v="32"/>
    <m/>
    <m/>
    <m/>
    <m/>
    <m/>
    <m/>
  </r>
  <r>
    <s v="ALUFORCE"/>
    <d v="2026-01-29T00:00:00"/>
    <s v="F9"/>
    <n v="336"/>
    <s v="002"/>
    <s v="MNS MOREIRA COMERCIO DE ILUMINACAO LTDA"/>
    <n v="875266000130"/>
    <n v="6220.07"/>
    <x v="60"/>
    <s v="OPERADO"/>
    <s v="H8"/>
    <d v="2026-01-30T00:00:00"/>
    <x v="2"/>
    <n v="47"/>
    <m/>
    <m/>
    <m/>
    <m/>
    <m/>
    <m/>
  </r>
  <r>
    <s v="ALUFORCE"/>
    <d v="2026-01-29T00:00:00"/>
    <s v="F9"/>
    <n v="336"/>
    <s v="003"/>
    <s v="MNS MOREIRA COMERCIO DE ILUMINACAO LTDA"/>
    <n v="875266000130"/>
    <n v="6220.06"/>
    <x v="61"/>
    <s v="OPERADO"/>
    <s v="H8"/>
    <d v="2026-01-30T00:00:00"/>
    <x v="2"/>
    <n v="62"/>
    <m/>
    <m/>
    <m/>
    <m/>
    <m/>
    <m/>
  </r>
  <r>
    <s v="ALUFORCE"/>
    <d v="2026-01-29T00:00:00"/>
    <s v="NF"/>
    <n v="336"/>
    <s v="001"/>
    <s v="MNS MOREIRA COMERCIO DE ILUMINACAO LTDA"/>
    <n v="875266000130"/>
    <n v="6220.07"/>
    <x v="47"/>
    <s v="OPERADO"/>
    <s v="H8"/>
    <d v="2026-01-30T00:00:00"/>
    <x v="2"/>
    <n v="32"/>
    <m/>
    <m/>
    <m/>
    <m/>
    <m/>
    <m/>
  </r>
  <r>
    <s v="ALUFORCE"/>
    <d v="2026-01-29T00:00:00"/>
    <s v="NF"/>
    <n v="336"/>
    <s v="002"/>
    <s v="MNS MOREIRA COMERCIO DE ILUMINACAO LTDA"/>
    <n v="875266000130"/>
    <n v="6220.07"/>
    <x v="60"/>
    <s v="OPERADO"/>
    <s v="H8"/>
    <d v="2026-01-30T00:00:00"/>
    <x v="2"/>
    <n v="47"/>
    <m/>
    <m/>
    <m/>
    <m/>
    <m/>
    <m/>
  </r>
  <r>
    <s v="ALUFORCE"/>
    <d v="2026-01-29T00:00:00"/>
    <s v="NF"/>
    <n v="336"/>
    <s v="003"/>
    <s v="MNS MOREIRA COMERCIO DE ILUMINACAO LTDA"/>
    <n v="875266000130"/>
    <n v="6220.06"/>
    <x v="61"/>
    <s v="OPERADO"/>
    <s v="H8"/>
    <d v="2026-01-30T00:00:00"/>
    <x v="2"/>
    <n v="62"/>
    <m/>
    <m/>
    <m/>
    <m/>
    <m/>
    <m/>
  </r>
  <r>
    <s v="ALUFORCE"/>
    <d v="2026-01-29T00:00:00"/>
    <s v="F9"/>
    <n v="337"/>
    <s v="001"/>
    <s v="GILSON FREITAS DE SOUZA "/>
    <n v="6095440000156"/>
    <n v="2373.5"/>
    <x v="26"/>
    <s v="OPERADO"/>
    <s v="H8"/>
    <d v="2026-01-30T00:00:00"/>
    <x v="2"/>
    <n v="31"/>
    <m/>
    <m/>
    <m/>
    <m/>
    <m/>
    <m/>
  </r>
  <r>
    <s v="ALUFORCE"/>
    <d v="2026-01-29T00:00:00"/>
    <s v="F9"/>
    <n v="337"/>
    <s v="002"/>
    <s v="GILSON FREITAS DE SOUZA "/>
    <n v="6095440000156"/>
    <n v="2373.5"/>
    <x v="63"/>
    <s v="OPERADO"/>
    <s v="H8"/>
    <d v="2026-01-30T00:00:00"/>
    <x v="2"/>
    <n v="61"/>
    <m/>
    <m/>
    <m/>
    <m/>
    <m/>
    <m/>
  </r>
  <r>
    <s v="ALUFORCE"/>
    <d v="2026-01-29T00:00:00"/>
    <s v="NF"/>
    <n v="337"/>
    <s v="001"/>
    <s v="GILSON FREITAS DE SOUZA "/>
    <n v="6095440000156"/>
    <n v="2373.5"/>
    <x v="26"/>
    <s v="OPERADO"/>
    <s v="H8"/>
    <d v="2026-01-30T00:00:00"/>
    <x v="2"/>
    <n v="31"/>
    <m/>
    <m/>
    <m/>
    <m/>
    <m/>
    <m/>
  </r>
  <r>
    <s v="ALUFORCE"/>
    <d v="2026-01-29T00:00:00"/>
    <s v="NF"/>
    <n v="337"/>
    <s v="002"/>
    <s v="GILSON FREITAS DE SOUZA "/>
    <n v="6095440000156"/>
    <n v="2373.5"/>
    <x v="63"/>
    <s v="OPERADO"/>
    <s v="H8"/>
    <d v="2026-01-30T00:00:00"/>
    <x v="2"/>
    <n v="61"/>
    <m/>
    <m/>
    <m/>
    <m/>
    <m/>
    <m/>
  </r>
  <r>
    <s v="ALUFORCE"/>
    <d v="2026-01-29T00:00:00"/>
    <s v="F9"/>
    <n v="338"/>
    <s v="001"/>
    <s v="COMERCIAL ELETRICA V M LTDA "/>
    <n v="4665945000183"/>
    <n v="3571.5"/>
    <x v="16"/>
    <s v="OPERADO"/>
    <s v="H8"/>
    <d v="2026-01-30T00:00:00"/>
    <x v="2"/>
    <n v="23"/>
    <m/>
    <m/>
    <m/>
    <m/>
    <m/>
    <m/>
  </r>
  <r>
    <s v="ALUFORCE"/>
    <d v="2026-01-29T00:00:00"/>
    <s v="F9"/>
    <n v="338"/>
    <s v="002"/>
    <s v="COMERCIAL ELETRICA V M LTDA "/>
    <n v="4665945000183"/>
    <n v="3571.5"/>
    <x v="64"/>
    <s v="OPERADO"/>
    <s v="H8"/>
    <d v="2026-01-30T00:00:00"/>
    <x v="2"/>
    <n v="33"/>
    <m/>
    <m/>
    <m/>
    <m/>
    <m/>
    <m/>
  </r>
  <r>
    <s v="ALUFORCE"/>
    <d v="2026-01-29T00:00:00"/>
    <s v="F9"/>
    <n v="338"/>
    <s v="003"/>
    <s v="COMERCIAL ELETRICA V M LTDA "/>
    <n v="4665945000183"/>
    <n v="3571.5"/>
    <x v="55"/>
    <s v="OPERADO"/>
    <s v="H8"/>
    <d v="2026-01-30T00:00:00"/>
    <x v="2"/>
    <n v="43"/>
    <m/>
    <m/>
    <m/>
    <m/>
    <m/>
    <m/>
  </r>
  <r>
    <s v="ALUFORCE"/>
    <d v="2026-01-29T00:00:00"/>
    <s v="F9"/>
    <n v="338"/>
    <s v="004"/>
    <s v="COMERCIAL ELETRICA V M LTDA "/>
    <n v="4665945000183"/>
    <n v="3571.5"/>
    <x v="53"/>
    <s v="OPERADO"/>
    <s v="H8"/>
    <d v="2026-01-30T00:00:00"/>
    <x v="2"/>
    <n v="53"/>
    <m/>
    <m/>
    <m/>
    <m/>
    <m/>
    <m/>
  </r>
  <r>
    <s v="ALUFORCE"/>
    <d v="2026-01-29T00:00:00"/>
    <s v="NF"/>
    <n v="338"/>
    <s v="001"/>
    <s v="COMERCIAL ELETRICA V M LTDA "/>
    <n v="4665945000183"/>
    <n v="4921.53"/>
    <x v="16"/>
    <s v="OPERADO"/>
    <s v="H8"/>
    <d v="2026-01-30T00:00:00"/>
    <x v="2"/>
    <n v="23"/>
    <m/>
    <m/>
    <m/>
    <m/>
    <m/>
    <m/>
  </r>
  <r>
    <s v="ALUFORCE"/>
    <d v="2026-01-29T00:00:00"/>
    <s v="NF"/>
    <n v="338"/>
    <s v="002"/>
    <s v="COMERCIAL ELETRICA V M LTDA "/>
    <n v="4665945000183"/>
    <n v="3571.5"/>
    <x v="64"/>
    <s v="OPERADO"/>
    <s v="H8"/>
    <d v="2026-01-30T00:00:00"/>
    <x v="2"/>
    <n v="33"/>
    <m/>
    <m/>
    <m/>
    <m/>
    <m/>
    <m/>
  </r>
  <r>
    <s v="ALUFORCE"/>
    <d v="2026-01-29T00:00:00"/>
    <s v="NF"/>
    <n v="338"/>
    <s v="003"/>
    <s v="COMERCIAL ELETRICA V M LTDA "/>
    <n v="4665945000183"/>
    <n v="3571.5"/>
    <x v="55"/>
    <s v="OPERADO"/>
    <s v="H8"/>
    <d v="2026-01-30T00:00:00"/>
    <x v="2"/>
    <n v="43"/>
    <m/>
    <m/>
    <m/>
    <m/>
    <m/>
    <m/>
  </r>
  <r>
    <s v="ALUFORCE"/>
    <d v="2026-01-29T00:00:00"/>
    <s v="NF"/>
    <n v="338"/>
    <s v="004"/>
    <s v="COMERCIAL ELETRICA V M LTDA "/>
    <n v="4665945000183"/>
    <n v="3571.5"/>
    <x v="53"/>
    <s v="OPERADO"/>
    <s v="H8"/>
    <d v="2026-01-30T00:00:00"/>
    <x v="2"/>
    <n v="53"/>
    <m/>
    <m/>
    <m/>
    <m/>
    <m/>
    <m/>
  </r>
  <r>
    <s v="ALUFORCE"/>
    <d v="2026-01-29T00:00:00"/>
    <s v="NF"/>
    <n v="338"/>
    <s v="005"/>
    <s v="COMERCIAL ELETRICA V M LTDA "/>
    <n v="4665945000183"/>
    <n v="3571.5"/>
    <x v="65"/>
    <s v="OPERADO"/>
    <s v="H8"/>
    <d v="2026-01-30T00:00:00"/>
    <x v="2"/>
    <n v="63"/>
    <m/>
    <m/>
    <m/>
    <m/>
    <m/>
    <m/>
  </r>
  <r>
    <s v="ALUFORCE"/>
    <d v="2026-01-29T00:00:00"/>
    <s v="F9"/>
    <n v="338"/>
    <s v="005"/>
    <s v="COMERCIAL ELETRICA V M LTDA "/>
    <n v="4665945000183"/>
    <n v="3571.5"/>
    <x v="65"/>
    <s v="OPERADO"/>
    <s v="H8"/>
    <d v="2026-01-30T00:00:00"/>
    <x v="2"/>
    <n v="63"/>
    <m/>
    <m/>
    <m/>
    <m/>
    <m/>
    <m/>
  </r>
  <r>
    <s v="ALUFORCE"/>
    <d v="2026-01-29T00:00:00"/>
    <s v="F9"/>
    <n v="339"/>
    <s v="001"/>
    <s v="MCFEE CONSTRUCOES &amp; ELETRIFICACOES L"/>
    <n v="22991072000180"/>
    <n v="628.5"/>
    <x v="46"/>
    <s v="OPERADO"/>
    <s v="H8"/>
    <d v="2026-01-30T00:00:00"/>
    <x v="2"/>
    <n v="25"/>
    <m/>
    <m/>
    <m/>
    <m/>
    <m/>
    <m/>
  </r>
  <r>
    <s v="ALUFORCE"/>
    <d v="2026-01-29T00:00:00"/>
    <s v="F9"/>
    <n v="339"/>
    <s v="002"/>
    <s v="MCFEE CONSTRUCOES &amp; ELETRIFICACOES L"/>
    <n v="22991072000180"/>
    <n v="628.5"/>
    <x v="47"/>
    <s v="OPERADO"/>
    <s v="H8"/>
    <d v="2026-01-30T00:00:00"/>
    <x v="2"/>
    <n v="32"/>
    <m/>
    <m/>
    <m/>
    <m/>
    <m/>
    <m/>
  </r>
  <r>
    <s v="ALUFORCE"/>
    <d v="2026-01-29T00:00:00"/>
    <s v="F9"/>
    <n v="339"/>
    <s v="003"/>
    <s v="MCFEE CONSTRUCOES &amp; ELETRIFICACOES L"/>
    <n v="22991072000180"/>
    <n v="628.5"/>
    <x v="48"/>
    <s v="OPERADO"/>
    <s v="H8"/>
    <d v="2026-01-30T00:00:00"/>
    <x v="2"/>
    <n v="39"/>
    <m/>
    <m/>
    <m/>
    <m/>
    <m/>
    <m/>
  </r>
  <r>
    <s v="ALUFORCE"/>
    <d v="2026-01-29T00:00:00"/>
    <s v="NF"/>
    <n v="339"/>
    <s v="001"/>
    <s v="MCFEE CONSTRUCOES &amp; ELETRIFICACOES L"/>
    <n v="22991072000180"/>
    <n v="766.46"/>
    <x v="46"/>
    <s v="OPERADO"/>
    <s v="DEL MONTE"/>
    <d v="2026-01-30T00:00:00"/>
    <x v="2"/>
    <n v="25"/>
    <m/>
    <m/>
    <m/>
    <m/>
    <m/>
    <m/>
  </r>
  <r>
    <s v="ALUFORCE"/>
    <d v="2026-01-29T00:00:00"/>
    <s v="NF"/>
    <n v="339"/>
    <s v="002"/>
    <s v="MCFEE CONSTRUCOES &amp; ELETRIFICACOES L"/>
    <n v="22991072000180"/>
    <n v="628.5"/>
    <x v="47"/>
    <s v="OPERADO"/>
    <s v="DEL MONTE"/>
    <d v="2026-01-30T00:00:00"/>
    <x v="2"/>
    <n v="32"/>
    <m/>
    <m/>
    <m/>
    <m/>
    <m/>
    <m/>
  </r>
  <r>
    <s v="ALUFORCE"/>
    <d v="2026-01-29T00:00:00"/>
    <s v="NF"/>
    <n v="339"/>
    <s v="003"/>
    <s v="MCFEE CONSTRUCOES &amp; ELETRIFICACOES L"/>
    <n v="22991072000180"/>
    <n v="628.5"/>
    <x v="48"/>
    <s v="OPERADO"/>
    <s v="DEL MONTE"/>
    <d v="2026-01-30T00:00:00"/>
    <x v="2"/>
    <n v="39"/>
    <m/>
    <m/>
    <m/>
    <m/>
    <m/>
    <m/>
  </r>
  <r>
    <s v="ALUFORCE"/>
    <d v="2026-01-29T00:00:00"/>
    <s v="F9"/>
    <n v="340"/>
    <s v="001"/>
    <s v="IM  CONDUTORES ELETRICOS "/>
    <n v="30525936000105"/>
    <n v="10500.48"/>
    <x v="66"/>
    <s v="OPERADO"/>
    <s v="DEL MONTE"/>
    <d v="2026-01-30T00:00:00"/>
    <x v="2"/>
    <n v="34"/>
    <m/>
    <m/>
    <m/>
    <m/>
    <m/>
    <m/>
  </r>
  <r>
    <s v="ALUFORCE"/>
    <d v="2026-01-29T00:00:00"/>
    <s v="F9"/>
    <n v="340"/>
    <s v="002"/>
    <s v="IM  CONDUTORES ELETRICOS "/>
    <n v="30525936000105"/>
    <n v="10500.48"/>
    <x v="67"/>
    <s v="OPERADO"/>
    <s v="DEL MONTE"/>
    <d v="2026-01-30T00:00:00"/>
    <x v="2"/>
    <n v="64"/>
    <m/>
    <m/>
    <m/>
    <m/>
    <m/>
    <m/>
  </r>
  <r>
    <s v="ALUFORCE"/>
    <d v="2026-01-29T00:00:00"/>
    <s v="F9"/>
    <n v="340"/>
    <s v="003"/>
    <s v="IM  CONDUTORES ELETRICOS "/>
    <n v="30525936000105"/>
    <n v="10500.47"/>
    <x v="68"/>
    <s v="OPERADO"/>
    <s v="DEL MONTE"/>
    <d v="2026-01-30T00:00:00"/>
    <x v="2"/>
    <n v="94"/>
    <m/>
    <m/>
    <m/>
    <m/>
    <m/>
    <m/>
  </r>
  <r>
    <s v="ALUFORCE"/>
    <d v="2026-01-29T00:00:00"/>
    <s v="NF"/>
    <n v="340"/>
    <s v="001"/>
    <s v="IM  CONDUTORES ELETRICOS "/>
    <n v="30525936000105"/>
    <n v="10500.48"/>
    <x v="66"/>
    <s v="OPERADO"/>
    <s v="DEL MONTE"/>
    <d v="2026-01-30T00:00:00"/>
    <x v="2"/>
    <n v="34"/>
    <m/>
    <m/>
    <m/>
    <m/>
    <m/>
    <m/>
  </r>
  <r>
    <s v="ALUFORCE"/>
    <d v="2026-01-29T00:00:00"/>
    <s v="NF"/>
    <n v="340"/>
    <s v="002"/>
    <s v="IM  CONDUTORES ELETRICOS "/>
    <n v="30525936000105"/>
    <n v="10500.48"/>
    <x v="67"/>
    <s v="OPERADO"/>
    <s v="DEL MONTE"/>
    <d v="2026-01-30T00:00:00"/>
    <x v="2"/>
    <n v="64"/>
    <m/>
    <m/>
    <m/>
    <m/>
    <m/>
    <m/>
  </r>
  <r>
    <s v="ALUFORCE"/>
    <d v="2026-01-29T00:00:00"/>
    <s v="NF"/>
    <n v="340"/>
    <s v="003"/>
    <s v="IM  CONDUTORES ELETRICOS "/>
    <n v="30525936000105"/>
    <n v="10500.47"/>
    <x v="68"/>
    <s v="OPERADO"/>
    <s v="DEL MONTE"/>
    <d v="2026-01-30T00:00:00"/>
    <x v="2"/>
    <n v="94"/>
    <m/>
    <m/>
    <m/>
    <m/>
    <m/>
    <m/>
  </r>
  <r>
    <s v="ALUFORCE"/>
    <d v="2026-01-29T00:00:00"/>
    <s v="F9"/>
    <n v="341"/>
    <s v="001"/>
    <s v="FERLIN &amp; ANDRADE MATERIAIS ELETRICOS LTDA "/>
    <n v="1532397000125"/>
    <n v="2133.25"/>
    <x v="26"/>
    <s v="OPERADO"/>
    <s v="DEL MONTE"/>
    <d v="2026-01-30T00:00:00"/>
    <x v="2"/>
    <n v="31"/>
    <m/>
    <m/>
    <m/>
    <m/>
    <m/>
    <m/>
  </r>
  <r>
    <s v="ALUFORCE"/>
    <d v="2026-01-29T00:00:00"/>
    <s v="F9"/>
    <n v="341"/>
    <s v="002"/>
    <s v="FERLIN &amp; ANDRADE MATERIAIS ELETRICOS LTDA "/>
    <n v="1532397000125"/>
    <n v="2133.25"/>
    <x v="69"/>
    <s v="OPERADO"/>
    <s v="DEL MONTE"/>
    <d v="2026-01-30T00:00:00"/>
    <x v="2"/>
    <n v="41"/>
    <m/>
    <m/>
    <m/>
    <m/>
    <m/>
    <m/>
  </r>
  <r>
    <s v="ALUFORCE"/>
    <d v="2026-01-29T00:00:00"/>
    <s v="F9"/>
    <n v="341"/>
    <s v="003"/>
    <s v="FERLIN &amp; ANDRADE MATERIAIS ELETRICOS LTDA "/>
    <n v="1532397000125"/>
    <n v="2133.25"/>
    <x v="42"/>
    <s v="OPERADO"/>
    <s v="DEL MONTE"/>
    <d v="2026-01-30T00:00:00"/>
    <x v="2"/>
    <n v="51"/>
    <m/>
    <m/>
    <m/>
    <m/>
    <m/>
    <m/>
  </r>
  <r>
    <s v="ALUFORCE"/>
    <d v="2026-01-29T00:00:00"/>
    <s v="F9"/>
    <n v="341"/>
    <s v="004"/>
    <s v="FERLIN &amp; ANDRADE MATERIAIS ELETRICOS LTDA "/>
    <n v="1532397000125"/>
    <n v="2133.25"/>
    <x v="63"/>
    <s v="OPERADO"/>
    <s v="DEL MONTE"/>
    <d v="2026-01-30T00:00:00"/>
    <x v="2"/>
    <n v="61"/>
    <m/>
    <m/>
    <m/>
    <m/>
    <m/>
    <m/>
  </r>
  <r>
    <s v="ALUFORCE"/>
    <d v="2026-01-29T00:00:00"/>
    <s v="NF"/>
    <n v="341"/>
    <s v="001"/>
    <s v="FERLIN &amp; ANDRADE MATERIAIS ELETRICOS LTDA "/>
    <n v="1532397000125"/>
    <n v="2778.35"/>
    <x v="26"/>
    <s v="OPERADO"/>
    <s v="DEL MONTE"/>
    <d v="2026-01-30T00:00:00"/>
    <x v="2"/>
    <n v="31"/>
    <m/>
    <m/>
    <m/>
    <m/>
    <m/>
    <m/>
  </r>
  <r>
    <s v="ALUFORCE"/>
    <d v="2026-01-29T00:00:00"/>
    <s v="NF"/>
    <n v="341"/>
    <s v="002"/>
    <s v="FERLIN &amp; ANDRADE MATERIAIS ELETRICOS LTDA "/>
    <n v="1532397000125"/>
    <n v="2133.25"/>
    <x v="69"/>
    <s v="OPERADO"/>
    <s v="DEL MONTE"/>
    <d v="2026-01-30T00:00:00"/>
    <x v="2"/>
    <n v="41"/>
    <m/>
    <m/>
    <m/>
    <m/>
    <m/>
    <m/>
  </r>
  <r>
    <s v="ALUFORCE"/>
    <d v="2026-01-29T00:00:00"/>
    <s v="NF"/>
    <n v="341"/>
    <s v="003"/>
    <s v="FERLIN &amp; ANDRADE MATERIAIS ELETRICOS LTDA "/>
    <n v="1532397000125"/>
    <n v="2133.25"/>
    <x v="42"/>
    <s v="OPERADO"/>
    <s v="DEL MONTE"/>
    <d v="2026-01-30T00:00:00"/>
    <x v="2"/>
    <n v="51"/>
    <m/>
    <m/>
    <m/>
    <m/>
    <m/>
    <m/>
  </r>
  <r>
    <s v="ALUFORCE"/>
    <d v="2026-01-29T00:00:00"/>
    <s v="NF"/>
    <n v="341"/>
    <s v="004"/>
    <s v="FERLIN &amp; ANDRADE MATERIAIS ELETRICOS LTDA "/>
    <n v="1532397000125"/>
    <n v="2133.25"/>
    <x v="63"/>
    <s v="OPERADO"/>
    <s v="DEL MONTE"/>
    <d v="2026-01-30T00:00:00"/>
    <x v="2"/>
    <n v="61"/>
    <m/>
    <m/>
    <m/>
    <m/>
    <m/>
    <m/>
  </r>
  <r>
    <s v="ALUFORCE"/>
    <d v="2026-01-30T00:00:00"/>
    <s v="NF"/>
    <n v="342"/>
    <s v="001"/>
    <s v="IVAM FELIPE "/>
    <n v="22269466000120"/>
    <n v="1727.87"/>
    <x v="26"/>
    <s v="OPERADO"/>
    <s v="DEL MONTE"/>
    <d v="2026-01-30T00:00:00"/>
    <x v="2"/>
    <n v="31"/>
    <m/>
    <m/>
    <m/>
    <m/>
    <m/>
    <m/>
  </r>
  <r>
    <s v="ALUFORCE"/>
    <d v="2026-01-30T00:00:00"/>
    <s v="NF"/>
    <n v="342"/>
    <s v="002"/>
    <s v="IVAM FELIPE "/>
    <n v="22269466000120"/>
    <n v="1317.58"/>
    <x v="39"/>
    <s v="OPERADO"/>
    <s v="DEL MONTE"/>
    <d v="2026-01-30T00:00:00"/>
    <x v="2"/>
    <n v="38"/>
    <m/>
    <m/>
    <m/>
    <m/>
    <m/>
    <m/>
  </r>
  <r>
    <s v="ALUFORCE"/>
    <d v="2026-01-30T00:00:00"/>
    <s v="NF"/>
    <n v="342"/>
    <s v="003"/>
    <s v="IVAM FELIPE "/>
    <n v="22269466000120"/>
    <n v="1317.58"/>
    <x v="40"/>
    <s v="OPERADO"/>
    <s v="DEL MONTE"/>
    <d v="2026-01-30T00:00:00"/>
    <x v="2"/>
    <n v="45"/>
    <m/>
    <m/>
    <m/>
    <m/>
    <m/>
    <m/>
  </r>
  <r>
    <s v="ALUFORCE"/>
    <d v="2026-01-30T00:00:00"/>
    <s v="F9"/>
    <n v="342"/>
    <s v="001"/>
    <s v="IVAM FELIPE "/>
    <n v="22269466000120"/>
    <n v="1317.58"/>
    <x v="26"/>
    <s v="OPERADO"/>
    <s v="DEL MONTE"/>
    <d v="2026-01-30T00:00:00"/>
    <x v="2"/>
    <n v="31"/>
    <m/>
    <m/>
    <m/>
    <m/>
    <m/>
    <m/>
  </r>
  <r>
    <s v="ALUFORCE"/>
    <d v="2026-01-30T00:00:00"/>
    <s v="F9"/>
    <n v="342"/>
    <s v="002"/>
    <s v="IVAM FELIPE "/>
    <n v="22269466000120"/>
    <n v="1317.58"/>
    <x v="39"/>
    <s v="OPERADO"/>
    <s v="DEL MONTE"/>
    <d v="2026-01-30T00:00:00"/>
    <x v="2"/>
    <n v="38"/>
    <m/>
    <m/>
    <m/>
    <m/>
    <m/>
    <m/>
  </r>
  <r>
    <s v="ALUFORCE"/>
    <d v="2026-01-30T00:00:00"/>
    <s v="F9"/>
    <n v="342"/>
    <s v="003"/>
    <s v="IVAM FELIPE "/>
    <n v="22269466000120"/>
    <n v="1317.58"/>
    <x v="40"/>
    <s v="OPERADO"/>
    <s v="DEL MONTE"/>
    <d v="2026-01-30T00:00:00"/>
    <x v="2"/>
    <n v="45"/>
    <m/>
    <m/>
    <m/>
    <m/>
    <m/>
    <m/>
  </r>
  <r>
    <s v="ALUFORCE"/>
    <d v="2026-01-30T00:00:00"/>
    <s v="F9"/>
    <n v="342"/>
    <s v="004"/>
    <s v="IVAM FELIPE "/>
    <n v="22269466000120"/>
    <n v="1317.58"/>
    <x v="45"/>
    <s v="OPERADO"/>
    <s v="DEL MONTE"/>
    <d v="2026-01-30T00:00:00"/>
    <x v="2"/>
    <n v="52"/>
    <m/>
    <m/>
    <m/>
    <m/>
    <m/>
    <m/>
  </r>
  <r>
    <s v="ALUFORCE"/>
    <d v="2026-01-30T00:00:00"/>
    <s v="NF"/>
    <n v="342"/>
    <s v="004"/>
    <s v="IVAM FELIPE "/>
    <n v="22269466000120"/>
    <n v="1317.58"/>
    <x v="45"/>
    <s v="OPERADO"/>
    <s v="DEL MONTE"/>
    <d v="2026-01-30T00:00:00"/>
    <x v="2"/>
    <n v="52"/>
    <m/>
    <m/>
    <m/>
    <m/>
    <m/>
    <m/>
  </r>
  <r>
    <s v="ALUFORCE"/>
    <d v="2026-01-30T00:00:00"/>
    <s v="NF"/>
    <n v="343"/>
    <s v="001"/>
    <s v="GERSON OSVALDO PLENTZ "/>
    <n v="8321252000205"/>
    <n v="2619.33"/>
    <x v="46"/>
    <s v="DISPONÍVEL"/>
    <m/>
    <m/>
    <x v="2"/>
    <n v="25"/>
    <m/>
    <m/>
    <m/>
    <m/>
    <m/>
    <m/>
  </r>
  <r>
    <s v="ALUFORCE"/>
    <d v="2026-01-30T00:00:00"/>
    <s v="NF"/>
    <n v="343"/>
    <s v="002"/>
    <s v="GERSON OSVALDO PLENTZ "/>
    <n v="8321252000205"/>
    <n v="2619.33"/>
    <x v="47"/>
    <s v="DISPONÍVEL"/>
    <m/>
    <m/>
    <x v="2"/>
    <n v="32"/>
    <m/>
    <m/>
    <m/>
    <m/>
    <m/>
    <m/>
  </r>
  <r>
    <s v="ALUFORCE"/>
    <d v="2026-01-30T00:00:00"/>
    <s v="NF"/>
    <n v="343"/>
    <s v="003"/>
    <s v="GERSON OSVALDO PLENTZ "/>
    <n v="8321252000205"/>
    <n v="2619.34"/>
    <x v="48"/>
    <s v="DISPONÍVEL"/>
    <m/>
    <m/>
    <x v="2"/>
    <n v="39"/>
    <m/>
    <m/>
    <m/>
    <m/>
    <m/>
    <m/>
  </r>
  <r>
    <s v="ALUFORCE"/>
    <d v="2026-01-30T00:00:00"/>
    <s v="NF"/>
    <n v="344"/>
    <s v="001"/>
    <s v="COMERCIAL MARTINS LTDA "/>
    <n v="20891953000102"/>
    <n v="2673"/>
    <x v="45"/>
    <s v="DISPONÍVEL"/>
    <m/>
    <m/>
    <x v="2"/>
    <n v="52"/>
    <m/>
    <m/>
    <m/>
    <m/>
    <m/>
    <m/>
  </r>
  <r>
    <s v="ALUFORCE"/>
    <d v="2026-01-30T00:00:00"/>
    <s v="NF"/>
    <n v="344"/>
    <s v="002"/>
    <s v="COMERCIAL MARTINS LTDA "/>
    <n v="20891953000102"/>
    <n v="2673"/>
    <x v="70"/>
    <s v="DISPONÍVEL"/>
    <m/>
    <m/>
    <x v="2"/>
    <n v="67"/>
    <m/>
    <m/>
    <m/>
    <m/>
    <m/>
    <m/>
  </r>
  <r>
    <s v="ALUFORCE"/>
    <d v="2026-01-30T00:00:00"/>
    <s v="NF"/>
    <n v="344"/>
    <s v="003"/>
    <s v="COMERCIAL MARTINS LTDA "/>
    <n v="20891953000102"/>
    <n v="2673"/>
    <x v="71"/>
    <s v="DISPONÍVEL"/>
    <m/>
    <m/>
    <x v="2"/>
    <n v="82"/>
    <m/>
    <m/>
    <m/>
    <m/>
    <m/>
    <m/>
  </r>
  <r>
    <s v="ALUFORCE"/>
    <d v="2026-01-30T00:00:00"/>
    <s v="NF"/>
    <n v="344"/>
    <s v="004"/>
    <s v="COMERCIAL MARTINS LTDA "/>
    <n v="20891953000102"/>
    <n v="2673"/>
    <x v="72"/>
    <s v="DISPONÍVEL"/>
    <m/>
    <m/>
    <x v="2"/>
    <n v="97"/>
    <m/>
    <m/>
    <m/>
    <m/>
    <m/>
    <m/>
  </r>
  <r>
    <s v="ALUFORCE"/>
    <d v="2026-01-30T00:00:00"/>
    <s v="F9"/>
    <n v="344"/>
    <s v="001"/>
    <s v="COMERCIAL MARTINS LTDA "/>
    <n v="20891953000102"/>
    <n v="2673"/>
    <x v="45"/>
    <s v="DISPONÍVEL"/>
    <m/>
    <m/>
    <x v="2"/>
    <n v="52"/>
    <m/>
    <m/>
    <m/>
    <m/>
    <m/>
    <m/>
  </r>
  <r>
    <s v="ALUFORCE"/>
    <d v="2026-01-30T00:00:00"/>
    <s v="F9"/>
    <n v="344"/>
    <s v="002"/>
    <s v="COMERCIAL MARTINS LTDA "/>
    <n v="20891953000102"/>
    <n v="2673"/>
    <x v="70"/>
    <s v="DISPONÍVEL"/>
    <m/>
    <m/>
    <x v="2"/>
    <n v="67"/>
    <m/>
    <m/>
    <m/>
    <m/>
    <m/>
    <m/>
  </r>
  <r>
    <s v="ALUFORCE"/>
    <d v="2026-01-30T00:00:00"/>
    <s v="F9"/>
    <n v="344"/>
    <s v="003"/>
    <s v="COMERCIAL MARTINS LTDA "/>
    <n v="20891953000102"/>
    <n v="2673"/>
    <x v="71"/>
    <s v="DISPONÍVEL"/>
    <m/>
    <m/>
    <x v="2"/>
    <n v="82"/>
    <m/>
    <m/>
    <m/>
    <m/>
    <m/>
    <m/>
  </r>
  <r>
    <s v="ALUFORCE"/>
    <d v="2026-01-30T00:00:00"/>
    <s v="F9"/>
    <n v="344"/>
    <s v="004"/>
    <s v="COMERCIAL MARTINS LTDA "/>
    <n v="20891953000102"/>
    <n v="2673"/>
    <x v="72"/>
    <s v="DISPONÍVEL"/>
    <m/>
    <m/>
    <x v="2"/>
    <n v="97"/>
    <m/>
    <m/>
    <m/>
    <m/>
    <m/>
    <m/>
  </r>
  <r>
    <s v="ALUFORCE"/>
    <d v="2026-01-30T00:00:00"/>
    <s v="NF"/>
    <n v="346"/>
    <s v="001"/>
    <s v="ALTIPLANO MAMANGUAPE EMPREENDIMENTOS IMOBILIARIOS SPE LTDA "/>
    <n v="22348602000177"/>
    <n v="4015.71"/>
    <x v="41"/>
    <s v="DISPONÍVEL"/>
    <m/>
    <m/>
    <x v="2"/>
    <n v="37"/>
    <m/>
    <m/>
    <m/>
    <m/>
    <m/>
    <m/>
  </r>
  <r>
    <s v="ALUFORCE"/>
    <d v="2026-01-30T00:00:00"/>
    <s v="NF"/>
    <n v="346"/>
    <s v="002"/>
    <s v="ALTIPLANO MAMANGUAPE EMPREENDIMENTOS IMOBILIARIOS SPE LTDA "/>
    <n v="22348602000177"/>
    <n v="2889"/>
    <x v="45"/>
    <s v="DISPONÍVEL"/>
    <m/>
    <m/>
    <x v="2"/>
    <n v="52"/>
    <m/>
    <m/>
    <m/>
    <m/>
    <m/>
    <m/>
  </r>
  <r>
    <s v="ALUFORCE"/>
    <d v="2026-01-30T00:00:00"/>
    <s v="NF"/>
    <n v="346"/>
    <s v="003"/>
    <s v="ALTIPLANO MAMANGUAPE EMPREENDIMENTOS IMOBILIARIOS SPE LTDA "/>
    <n v="22348602000177"/>
    <n v="2889"/>
    <x v="70"/>
    <s v="DISPONÍVEL"/>
    <m/>
    <m/>
    <x v="2"/>
    <n v="67"/>
    <m/>
    <m/>
    <m/>
    <m/>
    <m/>
    <m/>
  </r>
  <r>
    <s v="ALUFORCE"/>
    <d v="2026-01-30T00:00:00"/>
    <s v="F9"/>
    <n v="346"/>
    <s v="001"/>
    <s v="ALTIPLANO MAMANGUAPE EMPREENDIMENTOS IMOBILIARIOS SPE LTDA "/>
    <n v="22348602000177"/>
    <n v="6741.1"/>
    <x v="41"/>
    <s v="DISPONÍVEL"/>
    <m/>
    <m/>
    <x v="2"/>
    <n v="37"/>
    <m/>
    <m/>
    <m/>
    <m/>
    <m/>
    <m/>
  </r>
  <r>
    <s v="ALUFORCE"/>
    <d v="2026-01-30T00:00:00"/>
    <s v="F9"/>
    <n v="346"/>
    <s v="002"/>
    <s v="ALTIPLANO MAMANGUAPE EMPREENDIMENTOS IMOBILIARIOS SPE LTDA "/>
    <n v="22348602000177"/>
    <n v="6741.1"/>
    <x v="45"/>
    <s v="DISPONÍVEL"/>
    <m/>
    <m/>
    <x v="2"/>
    <n v="52"/>
    <m/>
    <m/>
    <m/>
    <m/>
    <m/>
    <m/>
  </r>
  <r>
    <s v="ALUFORCE"/>
    <d v="2026-01-30T00:00:00"/>
    <s v="F9"/>
    <n v="346"/>
    <s v="003"/>
    <s v="ALTIPLANO MAMANGUAPE EMPREENDIMENTOS IMOBILIARIOS SPE LTDA "/>
    <n v="22348602000177"/>
    <n v="6741.1"/>
    <x v="70"/>
    <s v="DISPONÍVEL"/>
    <m/>
    <m/>
    <x v="2"/>
    <n v="67"/>
    <m/>
    <m/>
    <m/>
    <m/>
    <m/>
    <m/>
  </r>
  <r>
    <s v="ALUFORCE"/>
    <d v="2026-01-30T00:00:00"/>
    <s v="NF"/>
    <n v="347"/>
    <s v="001"/>
    <s v="COMERCIAL MARTINS LTDA "/>
    <n v="20891953000102"/>
    <n v="6500"/>
    <x v="73"/>
    <s v="DISPONÍVEL"/>
    <m/>
    <m/>
    <x v="2"/>
    <n v="49"/>
    <m/>
    <m/>
    <m/>
    <m/>
    <m/>
    <m/>
  </r>
  <r>
    <s v="ALUFORCE"/>
    <d v="2026-01-30T00:00:00"/>
    <s v="F9"/>
    <n v="347"/>
    <s v="001"/>
    <s v="COMERCIAL MARTINS LTDA "/>
    <n v="20891953000102"/>
    <n v="6500"/>
    <x v="73"/>
    <s v="DISPONÍVEL"/>
    <m/>
    <m/>
    <x v="2"/>
    <n v="49"/>
    <m/>
    <m/>
    <m/>
    <m/>
    <m/>
    <m/>
  </r>
  <r>
    <s v="ALUFORCE"/>
    <d v="2026-01-30T00:00:00"/>
    <s v="NF"/>
    <n v="348"/>
    <s v="001"/>
    <s v="L E L MATERIAIS ELETRICOS LTDA "/>
    <n v="40158778000148"/>
    <n v="813.33"/>
    <x v="26"/>
    <s v="DISPONÍVEL"/>
    <m/>
    <m/>
    <x v="2"/>
    <n v="31"/>
    <m/>
    <m/>
    <m/>
    <m/>
    <m/>
    <m/>
  </r>
  <r>
    <s v="ALUFORCE"/>
    <d v="2026-01-30T00:00:00"/>
    <s v="NF"/>
    <n v="348"/>
    <s v="002"/>
    <s v="L E L MATERIAIS ELETRICOS LTDA "/>
    <n v="40158778000148"/>
    <n v="813.33"/>
    <x v="39"/>
    <s v="DISPONÍVEL"/>
    <m/>
    <m/>
    <x v="2"/>
    <n v="38"/>
    <m/>
    <m/>
    <m/>
    <m/>
    <m/>
    <m/>
  </r>
  <r>
    <s v="ALUFORCE"/>
    <d v="2026-01-30T00:00:00"/>
    <s v="NF"/>
    <n v="348"/>
    <s v="003"/>
    <s v="L E L MATERIAIS ELETRICOS LTDA "/>
    <n v="40158778000148"/>
    <n v="813.34"/>
    <x v="40"/>
    <s v="DISPONÍVEL"/>
    <m/>
    <m/>
    <x v="2"/>
    <n v="45"/>
    <m/>
    <m/>
    <m/>
    <m/>
    <m/>
    <m/>
  </r>
  <r>
    <s v="ALUFORCE"/>
    <d v="2026-01-30T00:00:00"/>
    <s v="F9"/>
    <n v="348"/>
    <s v="001"/>
    <s v="L E L MATERIAIS ELETRICOS LTDA "/>
    <n v="40158778000148"/>
    <n v="813.33"/>
    <x v="26"/>
    <s v="DISPONÍVEL"/>
    <m/>
    <m/>
    <x v="2"/>
    <n v="31"/>
    <m/>
    <m/>
    <m/>
    <m/>
    <m/>
    <m/>
  </r>
  <r>
    <s v="ALUFORCE"/>
    <d v="2026-01-30T00:00:00"/>
    <s v="F9"/>
    <n v="348"/>
    <s v="002"/>
    <s v="L E L MATERIAIS ELETRICOS LTDA "/>
    <n v="40158778000148"/>
    <n v="813.33"/>
    <x v="39"/>
    <s v="DISPONÍVEL"/>
    <m/>
    <m/>
    <x v="2"/>
    <n v="38"/>
    <m/>
    <m/>
    <m/>
    <m/>
    <m/>
    <m/>
  </r>
  <r>
    <s v="ALUFORCE"/>
    <d v="2026-01-30T00:00:00"/>
    <s v="F9"/>
    <n v="348"/>
    <s v="003"/>
    <s v="L E L MATERIAIS ELETRICOS LTDA "/>
    <n v="40158778000148"/>
    <n v="813.34"/>
    <x v="40"/>
    <s v="DISPONÍVEL"/>
    <m/>
    <m/>
    <x v="2"/>
    <n v="45"/>
    <m/>
    <m/>
    <m/>
    <m/>
    <m/>
    <m/>
  </r>
  <r>
    <s v="ALUFORCE"/>
    <d v="2026-01-30T00:00:00"/>
    <s v="NF"/>
    <n v="349"/>
    <s v="001"/>
    <s v="EMILIO MATERIAS ELETRICOS LTDA "/>
    <n v="22258422000102"/>
    <n v="2322.16"/>
    <x v="47"/>
    <s v="DISPONÍVEL"/>
    <m/>
    <m/>
    <x v="2"/>
    <n v="32"/>
    <m/>
    <m/>
    <m/>
    <m/>
    <m/>
    <m/>
  </r>
  <r>
    <s v="ALUFORCE"/>
    <d v="2026-01-30T00:00:00"/>
    <s v="NF"/>
    <n v="349"/>
    <s v="002"/>
    <s v="EMILIO MATERIAS ELETRICOS LTDA "/>
    <n v="22258422000102"/>
    <n v="1904.17"/>
    <x v="48"/>
    <s v="DISPONÍVEL"/>
    <m/>
    <m/>
    <x v="2"/>
    <n v="39"/>
    <m/>
    <m/>
    <m/>
    <m/>
    <m/>
    <m/>
  </r>
  <r>
    <s v="ALUFORCE"/>
    <d v="2026-01-30T00:00:00"/>
    <s v="NF"/>
    <n v="349"/>
    <s v="003"/>
    <s v="EMILIO MATERIAS ELETRICOS LTDA "/>
    <n v="22258422000102"/>
    <n v="1904.16"/>
    <x v="49"/>
    <s v="DISPONÍVEL"/>
    <m/>
    <m/>
    <x v="2"/>
    <n v="46"/>
    <m/>
    <m/>
    <m/>
    <m/>
    <m/>
    <m/>
  </r>
  <r>
    <s v="ALUFORCE"/>
    <d v="2026-01-30T00:00:00"/>
    <s v="F9"/>
    <n v="349"/>
    <s v="001"/>
    <s v="EMILIO MATERIAS ELETRICOS LTDA "/>
    <n v="22258422000102"/>
    <n v="1904.17"/>
    <x v="47"/>
    <s v="DISPONÍVEL"/>
    <m/>
    <m/>
    <x v="2"/>
    <n v="32"/>
    <m/>
    <m/>
    <m/>
    <m/>
    <m/>
    <m/>
  </r>
  <r>
    <s v="ALUFORCE"/>
    <d v="2026-01-30T00:00:00"/>
    <s v="F9"/>
    <n v="349"/>
    <s v="002"/>
    <s v="EMILIO MATERIAS ELETRICOS LTDA "/>
    <n v="22258422000102"/>
    <n v="1904.17"/>
    <x v="48"/>
    <s v="DISPONÍVEL"/>
    <m/>
    <m/>
    <x v="2"/>
    <n v="39"/>
    <m/>
    <m/>
    <m/>
    <m/>
    <m/>
    <m/>
  </r>
  <r>
    <s v="ALUFORCE"/>
    <d v="2026-01-30T00:00:00"/>
    <s v="F9"/>
    <n v="349"/>
    <s v="003"/>
    <s v="EMILIO MATERIAS ELETRICOS LTDA "/>
    <n v="22258422000102"/>
    <n v="1904.16"/>
    <x v="49"/>
    <s v="DISPONÍVEL"/>
    <m/>
    <m/>
    <x v="2"/>
    <n v="46"/>
    <m/>
    <m/>
    <m/>
    <m/>
    <m/>
    <m/>
  </r>
  <r>
    <s v="ALUFORCE"/>
    <d v="2026-01-30T00:00:00"/>
    <s v="NF"/>
    <n v="350"/>
    <s v="001"/>
    <s v="ELETRO DE PADUA LTDA "/>
    <n v="71883219000124"/>
    <n v="949.54"/>
    <x v="47"/>
    <s v="DISPONÍVEL"/>
    <m/>
    <m/>
    <x v="2"/>
    <n v="32"/>
    <m/>
    <m/>
    <m/>
    <m/>
    <m/>
    <m/>
  </r>
  <r>
    <s v="ALUFORCE"/>
    <d v="2026-01-30T00:00:00"/>
    <s v="NF"/>
    <n v="350"/>
    <s v="002"/>
    <s v="ELETRO DE PADUA LTDA "/>
    <n v="71883219000124"/>
    <n v="774"/>
    <x v="48"/>
    <s v="DISPONÍVEL"/>
    <m/>
    <m/>
    <x v="2"/>
    <n v="39"/>
    <m/>
    <m/>
    <m/>
    <m/>
    <m/>
    <m/>
  </r>
  <r>
    <s v="ALUFORCE"/>
    <d v="2026-01-30T00:00:00"/>
    <s v="NF"/>
    <n v="350"/>
    <s v="003"/>
    <s v="ELETRO DE PADUA LTDA "/>
    <n v="71883219000124"/>
    <n v="774"/>
    <x v="49"/>
    <s v="DISPONÍVEL"/>
    <m/>
    <m/>
    <x v="2"/>
    <n v="46"/>
    <m/>
    <m/>
    <m/>
    <m/>
    <m/>
    <m/>
  </r>
  <r>
    <s v="ALUFORCE"/>
    <d v="2026-01-30T00:00:00"/>
    <s v="F9"/>
    <n v="350"/>
    <s v="001"/>
    <s v="ELETRO DE PADUA LTDA "/>
    <n v="71883219000124"/>
    <n v="774"/>
    <x v="47"/>
    <s v="DISPONÍVEL"/>
    <m/>
    <m/>
    <x v="2"/>
    <n v="32"/>
    <m/>
    <m/>
    <m/>
    <m/>
    <m/>
    <m/>
  </r>
  <r>
    <s v="ALUFORCE"/>
    <d v="2026-01-30T00:00:00"/>
    <s v="F9"/>
    <n v="350"/>
    <s v="002"/>
    <s v="ELETRO DE PADUA LTDA "/>
    <n v="71883219000124"/>
    <n v="774"/>
    <x v="48"/>
    <s v="DISPONÍVEL"/>
    <m/>
    <m/>
    <x v="2"/>
    <n v="39"/>
    <m/>
    <m/>
    <m/>
    <m/>
    <m/>
    <m/>
  </r>
  <r>
    <s v="ALUFORCE"/>
    <d v="2026-01-30T00:00:00"/>
    <s v="F9"/>
    <n v="350"/>
    <s v="003"/>
    <s v="ELETRO DE PADUA LTDA "/>
    <n v="71883219000124"/>
    <n v="774"/>
    <x v="49"/>
    <s v="DISPONÍVEL"/>
    <m/>
    <m/>
    <x v="2"/>
    <n v="46"/>
    <m/>
    <m/>
    <m/>
    <m/>
    <m/>
    <m/>
  </r>
  <r>
    <s v="ALUFORCE"/>
    <d v="2026-01-30T00:00:00"/>
    <s v="NF"/>
    <n v="351"/>
    <s v="001"/>
    <s v="COMERCIAL ELETRICA V M LTDA "/>
    <n v="4665945000183"/>
    <n v="4574.96"/>
    <x v="58"/>
    <s v="DISPONÍVEL"/>
    <m/>
    <m/>
    <x v="2"/>
    <n v="27"/>
    <m/>
    <m/>
    <m/>
    <m/>
    <m/>
    <m/>
  </r>
  <r>
    <s v="ALUFORCE"/>
    <d v="2026-01-30T00:00:00"/>
    <s v="NF"/>
    <n v="351"/>
    <s v="002"/>
    <s v="COMERCIAL ELETRICA V M LTDA "/>
    <n v="4665945000183"/>
    <n v="3320"/>
    <x v="41"/>
    <s v="DISPONÍVEL"/>
    <m/>
    <m/>
    <x v="2"/>
    <n v="37"/>
    <m/>
    <m/>
    <m/>
    <m/>
    <m/>
    <m/>
  </r>
  <r>
    <s v="ALUFORCE"/>
    <d v="2026-01-30T00:00:00"/>
    <s v="NF"/>
    <n v="351"/>
    <s v="003"/>
    <s v="COMERCIAL ELETRICA V M LTDA "/>
    <n v="4665945000183"/>
    <n v="3320"/>
    <x v="60"/>
    <s v="DISPONÍVEL"/>
    <m/>
    <m/>
    <x v="2"/>
    <n v="47"/>
    <m/>
    <m/>
    <m/>
    <m/>
    <m/>
    <m/>
  </r>
  <r>
    <s v="ALUFORCE"/>
    <d v="2026-01-30T00:00:00"/>
    <s v="NF"/>
    <n v="351"/>
    <s v="004"/>
    <s v="COMERCIAL ELETRICA V M LTDA "/>
    <n v="4665945000183"/>
    <n v="3320"/>
    <x v="74"/>
    <s v="DISPONÍVEL"/>
    <m/>
    <m/>
    <x v="2"/>
    <n v="57"/>
    <m/>
    <m/>
    <m/>
    <m/>
    <m/>
    <m/>
  </r>
  <r>
    <s v="ALUFORCE"/>
    <d v="2026-01-30T00:00:00"/>
    <s v="NF"/>
    <n v="351"/>
    <s v="005"/>
    <s v="COMERCIAL ELETRICA V M LTDA "/>
    <n v="4665945000183"/>
    <n v="3320"/>
    <x v="70"/>
    <s v="DISPONÍVEL"/>
    <m/>
    <m/>
    <x v="2"/>
    <n v="67"/>
    <m/>
    <m/>
    <m/>
    <m/>
    <m/>
    <m/>
  </r>
  <r>
    <s v="ALUFORCE"/>
    <d v="2026-01-30T00:00:00"/>
    <s v="F9"/>
    <n v="351"/>
    <s v="001"/>
    <s v="COMERCIAL ELETRICA V M LTDA "/>
    <n v="4665945000183"/>
    <n v="3320"/>
    <x v="58"/>
    <s v="DISPONÍVEL"/>
    <m/>
    <m/>
    <x v="2"/>
    <n v="27"/>
    <m/>
    <m/>
    <m/>
    <m/>
    <m/>
    <m/>
  </r>
  <r>
    <s v="ALUFORCE"/>
    <d v="2026-01-30T00:00:00"/>
    <s v="F9"/>
    <n v="351"/>
    <s v="002"/>
    <s v="COMERCIAL ELETRICA V M LTDA "/>
    <n v="4665945000183"/>
    <n v="3320"/>
    <x v="41"/>
    <s v="DISPONÍVEL"/>
    <m/>
    <m/>
    <x v="2"/>
    <n v="37"/>
    <m/>
    <m/>
    <m/>
    <m/>
    <m/>
    <m/>
  </r>
  <r>
    <s v="ALUFORCE"/>
    <d v="2026-01-30T00:00:00"/>
    <s v="F9"/>
    <n v="351"/>
    <s v="003"/>
    <s v="COMERCIAL ELETRICA V M LTDA "/>
    <n v="4665945000183"/>
    <n v="3320"/>
    <x v="60"/>
    <s v="DISPONÍVEL"/>
    <m/>
    <m/>
    <x v="2"/>
    <n v="47"/>
    <m/>
    <m/>
    <m/>
    <m/>
    <m/>
    <m/>
  </r>
  <r>
    <s v="ALUFORCE"/>
    <d v="2026-01-30T00:00:00"/>
    <s v="F9"/>
    <n v="351"/>
    <s v="004"/>
    <s v="COMERCIAL ELETRICA V M LTDA "/>
    <n v="4665945000183"/>
    <n v="3320"/>
    <x v="74"/>
    <s v="DISPONÍVEL"/>
    <m/>
    <m/>
    <x v="2"/>
    <n v="57"/>
    <m/>
    <m/>
    <m/>
    <m/>
    <m/>
    <m/>
  </r>
  <r>
    <s v="ALUFORCE"/>
    <d v="2026-01-30T00:00:00"/>
    <s v="F9"/>
    <n v="351"/>
    <s v="005"/>
    <s v="COMERCIAL ELETRICA V M LTDA "/>
    <n v="4665945000183"/>
    <n v="3320"/>
    <x v="70"/>
    <s v="DISPONÍVEL"/>
    <m/>
    <m/>
    <x v="2"/>
    <n v="67"/>
    <m/>
    <m/>
    <m/>
    <m/>
    <m/>
    <m/>
  </r>
  <r>
    <s v="ALUFORCE"/>
    <d v="2026-01-30T00:00:00"/>
    <s v="NF"/>
    <n v="352"/>
    <s v="001"/>
    <s v="PRM COMERCIO DE FERRAGENS LTDA "/>
    <n v="7205093000160"/>
    <n v="20303.330000000002"/>
    <x v="41"/>
    <s v="DISPONÍVEL"/>
    <m/>
    <m/>
    <x v="2"/>
    <n v="37"/>
    <m/>
    <m/>
    <m/>
    <m/>
    <m/>
    <m/>
  </r>
  <r>
    <s v="ALUFORCE"/>
    <d v="2026-01-30T00:00:00"/>
    <s v="NF"/>
    <n v="352"/>
    <s v="002"/>
    <s v="PRM COMERCIO DE FERRAGENS LTDA "/>
    <n v="7205093000160"/>
    <n v="20303.330000000002"/>
    <x v="70"/>
    <s v="DISPONÍVEL"/>
    <m/>
    <m/>
    <x v="2"/>
    <n v="67"/>
    <m/>
    <m/>
    <m/>
    <m/>
    <m/>
    <m/>
  </r>
  <r>
    <s v="ALUFORCE"/>
    <d v="2026-01-30T00:00:00"/>
    <s v="NF"/>
    <n v="352"/>
    <s v="003"/>
    <s v="PRM COMERCIO DE FERRAGENS LTDA "/>
    <n v="7205093000160"/>
    <n v="20303.34"/>
    <x v="72"/>
    <s v="DISPONÍVEL"/>
    <m/>
    <m/>
    <x v="2"/>
    <n v="97"/>
    <m/>
    <m/>
    <m/>
    <m/>
    <m/>
    <m/>
  </r>
  <r>
    <s v="ALUFORCE"/>
    <d v="2026-01-30T00:00:00"/>
    <s v="NF"/>
    <n v="353"/>
    <s v="001"/>
    <s v="REGINA ALVES DA COSTA "/>
    <n v="45992766000138"/>
    <n v="791.77"/>
    <x v="47"/>
    <s v="DISPONÍVEL"/>
    <m/>
    <m/>
    <x v="2"/>
    <n v="32"/>
    <m/>
    <m/>
    <m/>
    <m/>
    <m/>
    <m/>
  </r>
  <r>
    <s v="ALUFORCE"/>
    <d v="2026-01-30T00:00:00"/>
    <s v="NF"/>
    <n v="353"/>
    <s v="002"/>
    <s v="REGINA ALVES DA COSTA "/>
    <n v="45992766000138"/>
    <n v="612.5"/>
    <x v="48"/>
    <s v="DISPONÍVEL"/>
    <m/>
    <m/>
    <x v="2"/>
    <n v="39"/>
    <m/>
    <m/>
    <m/>
    <m/>
    <m/>
    <m/>
  </r>
  <r>
    <s v="ALUFORCE"/>
    <d v="2026-01-30T00:00:00"/>
    <s v="NF"/>
    <n v="353"/>
    <s v="003"/>
    <s v="REGINA ALVES DA COSTA "/>
    <n v="45992766000138"/>
    <n v="612.5"/>
    <x v="49"/>
    <s v="DISPONÍVEL"/>
    <m/>
    <m/>
    <x v="2"/>
    <n v="46"/>
    <m/>
    <m/>
    <m/>
    <m/>
    <m/>
    <m/>
  </r>
  <r>
    <s v="ALUFORCE"/>
    <d v="2026-01-30T00:00:00"/>
    <s v="NF"/>
    <n v="353"/>
    <s v="004"/>
    <s v="REGINA ALVES DA COSTA "/>
    <n v="45992766000138"/>
    <n v="612.5"/>
    <x v="53"/>
    <s v="DISPONÍVEL"/>
    <m/>
    <m/>
    <x v="2"/>
    <n v="53"/>
    <m/>
    <m/>
    <m/>
    <m/>
    <m/>
    <m/>
  </r>
  <r>
    <s v="ALUFORCE"/>
    <d v="2026-01-30T00:00:00"/>
    <s v="F9"/>
    <n v="353"/>
    <s v="001"/>
    <s v="REGINA ALVES DA COSTA "/>
    <n v="45992766000138"/>
    <n v="612.5"/>
    <x v="47"/>
    <s v="DISPONÍVEL"/>
    <m/>
    <m/>
    <x v="2"/>
    <n v="32"/>
    <m/>
    <m/>
    <m/>
    <m/>
    <m/>
    <m/>
  </r>
  <r>
    <s v="ALUFORCE"/>
    <d v="2026-01-30T00:00:00"/>
    <s v="F9"/>
    <n v="353"/>
    <s v="002"/>
    <s v="REGINA ALVES DA COSTA "/>
    <n v="45992766000138"/>
    <n v="612.5"/>
    <x v="48"/>
    <s v="DISPONÍVEL"/>
    <m/>
    <m/>
    <x v="2"/>
    <n v="39"/>
    <m/>
    <m/>
    <m/>
    <m/>
    <m/>
    <m/>
  </r>
  <r>
    <s v="ALUFORCE"/>
    <d v="2026-01-30T00:00:00"/>
    <s v="F9"/>
    <n v="353"/>
    <s v="003"/>
    <s v="REGINA ALVES DA COSTA "/>
    <n v="45992766000138"/>
    <n v="612.5"/>
    <x v="49"/>
    <s v="DISPONÍVEL"/>
    <m/>
    <m/>
    <x v="2"/>
    <n v="46"/>
    <m/>
    <m/>
    <m/>
    <m/>
    <m/>
    <m/>
  </r>
  <r>
    <s v="ALUFORCE"/>
    <d v="2026-01-30T00:00:00"/>
    <s v="F9"/>
    <n v="353"/>
    <s v="004"/>
    <s v="REGINA ALVES DA COSTA "/>
    <n v="45992766000138"/>
    <n v="612.5"/>
    <x v="53"/>
    <s v="DISPONÍVEL"/>
    <m/>
    <m/>
    <x v="2"/>
    <n v="53"/>
    <m/>
    <m/>
    <m/>
    <m/>
    <m/>
    <m/>
  </r>
  <r>
    <s v="ALUFORCE"/>
    <d v="2026-01-30T00:00:00"/>
    <s v="NF"/>
    <n v="354"/>
    <s v="001"/>
    <s v="H7 EMPREENDIMENTOS E SERVICOS DE ILUMINACAO LTDA "/>
    <n v="1536019500158"/>
    <n v="2437.5"/>
    <x v="47"/>
    <s v="DISPONÍVEL"/>
    <m/>
    <m/>
    <x v="2"/>
    <n v="32"/>
    <m/>
    <m/>
    <m/>
    <m/>
    <m/>
    <m/>
  </r>
  <r>
    <s v="ALUFORCE"/>
    <d v="2026-01-30T00:00:00"/>
    <s v="NF"/>
    <n v="354"/>
    <s v="002"/>
    <s v="H7 EMPREENDIMENTOS E SERVICOS DE ILUMINACAO LTDA "/>
    <n v="1536019500158"/>
    <n v="2437.5"/>
    <x v="48"/>
    <s v="DISPONÍVEL"/>
    <m/>
    <m/>
    <x v="2"/>
    <n v="39"/>
    <m/>
    <m/>
    <m/>
    <m/>
    <m/>
    <m/>
  </r>
  <r>
    <s v="ALUFORCE"/>
    <d v="2026-01-30T00:00:00"/>
    <s v="NF"/>
    <n v="354"/>
    <s v="003"/>
    <s v="H7 EMPREENDIMENTOS E SERVICOS DE ILUMINACAO LTDA "/>
    <n v="1536019500158"/>
    <n v="2437.5"/>
    <x v="49"/>
    <s v="DISPONÍVEL"/>
    <m/>
    <m/>
    <x v="2"/>
    <n v="46"/>
    <m/>
    <m/>
    <m/>
    <m/>
    <m/>
    <m/>
  </r>
  <r>
    <s v="ALUFORCE"/>
    <d v="2026-01-30T00:00:00"/>
    <s v="NF"/>
    <n v="354"/>
    <s v="004"/>
    <s v="H7 EMPREENDIMENTOS E SERVICOS DE ILUMINACAO LTDA "/>
    <n v="1536019500158"/>
    <n v="2437.5"/>
    <x v="53"/>
    <s v="DISPONÍVEL"/>
    <m/>
    <m/>
    <x v="2"/>
    <n v="53"/>
    <m/>
    <m/>
    <m/>
    <m/>
    <m/>
    <m/>
  </r>
  <r>
    <s v="ALUFORCE"/>
    <d v="2026-01-30T00:00:00"/>
    <s v="F9"/>
    <n v="354"/>
    <s v="001"/>
    <s v="H7 EMPREENDIMENTOS E SERVICOS DE ILUMINACAO LTDA "/>
    <n v="1536019500158"/>
    <n v="2437.5"/>
    <x v="47"/>
    <s v="DISPONÍVEL"/>
    <m/>
    <m/>
    <x v="2"/>
    <n v="32"/>
    <m/>
    <m/>
    <m/>
    <m/>
    <m/>
    <m/>
  </r>
  <r>
    <s v="ALUFORCE"/>
    <d v="2026-01-30T00:00:00"/>
    <s v="F9"/>
    <n v="354"/>
    <s v="002"/>
    <s v="H7 EMPREENDIMENTOS E SERVICOS DE ILUMINACAO LTDA "/>
    <n v="1536019500158"/>
    <n v="2437.5"/>
    <x v="48"/>
    <s v="DISPONÍVEL"/>
    <m/>
    <m/>
    <x v="2"/>
    <n v="39"/>
    <m/>
    <m/>
    <m/>
    <m/>
    <m/>
    <m/>
  </r>
  <r>
    <s v="ALUFORCE"/>
    <d v="2026-01-30T00:00:00"/>
    <s v="F9"/>
    <n v="354"/>
    <s v="003"/>
    <s v="H7 EMPREENDIMENTOS E SERVICOS DE ILUMINACAO LTDA "/>
    <n v="1536019500158"/>
    <n v="2437.5"/>
    <x v="49"/>
    <s v="DISPONÍVEL"/>
    <m/>
    <m/>
    <x v="2"/>
    <n v="46"/>
    <m/>
    <m/>
    <m/>
    <m/>
    <m/>
    <m/>
  </r>
  <r>
    <s v="ALUFORCE"/>
    <d v="2026-01-30T00:00:00"/>
    <s v="F9"/>
    <n v="354"/>
    <s v="004"/>
    <s v="H7 EMPREENDIMENTOS E SERVICOS DE ILUMINACAO LTDA "/>
    <n v="1536019500158"/>
    <n v="2437.5"/>
    <x v="53"/>
    <s v="DISPONÍVEL"/>
    <m/>
    <m/>
    <x v="2"/>
    <n v="53"/>
    <m/>
    <m/>
    <m/>
    <m/>
    <m/>
    <m/>
  </r>
  <r>
    <s v="ALUFORCE"/>
    <d v="2026-01-30T00:00:00"/>
    <s v="NF"/>
    <n v="355"/>
    <s v="001"/>
    <s v="MERITO CENTER LTDA "/>
    <n v="68192475000160"/>
    <n v="646.66999999999996"/>
    <x v="26"/>
    <s v="DISPONÍVEL"/>
    <m/>
    <m/>
    <x v="2"/>
    <n v="31"/>
    <m/>
    <m/>
    <m/>
    <m/>
    <m/>
    <m/>
  </r>
  <r>
    <s v="ALUFORCE"/>
    <d v="2026-01-30T00:00:00"/>
    <s v="NF"/>
    <n v="355"/>
    <s v="002"/>
    <s v="MERITO CENTER LTDA "/>
    <n v="68192475000160"/>
    <n v="646.66999999999996"/>
    <x v="39"/>
    <s v="DISPONÍVEL"/>
    <m/>
    <m/>
    <x v="2"/>
    <n v="38"/>
    <m/>
    <m/>
    <m/>
    <m/>
    <m/>
    <m/>
  </r>
  <r>
    <s v="ALUFORCE"/>
    <d v="2026-01-30T00:00:00"/>
    <s v="NF"/>
    <n v="355"/>
    <s v="003"/>
    <s v="MERITO CENTER LTDA "/>
    <n v="68192475000160"/>
    <n v="646.66999999999996"/>
    <x v="40"/>
    <s v="DISPONÍVEL"/>
    <m/>
    <m/>
    <x v="2"/>
    <n v="45"/>
    <m/>
    <m/>
    <m/>
    <m/>
    <m/>
    <m/>
  </r>
  <r>
    <s v="ALUFORCE"/>
    <d v="2026-01-30T00:00:00"/>
    <s v="F9"/>
    <n v="355"/>
    <s v="001"/>
    <s v="MERITO CENTER LTDA "/>
    <n v="68192475000160"/>
    <n v="646.66999999999996"/>
    <x v="26"/>
    <s v="DISPONÍVEL"/>
    <m/>
    <m/>
    <x v="2"/>
    <n v="31"/>
    <m/>
    <m/>
    <m/>
    <m/>
    <m/>
    <m/>
  </r>
  <r>
    <s v="ALUFORCE"/>
    <d v="2026-01-30T00:00:00"/>
    <s v="F9"/>
    <n v="355"/>
    <s v="002"/>
    <s v="MERITO CENTER LTDA "/>
    <n v="68192475000160"/>
    <n v="646.66999999999996"/>
    <x v="39"/>
    <s v="DISPONÍVEL"/>
    <m/>
    <m/>
    <x v="2"/>
    <n v="38"/>
    <m/>
    <m/>
    <m/>
    <m/>
    <m/>
    <m/>
  </r>
  <r>
    <s v="ALUFORCE"/>
    <d v="2026-01-30T00:00:00"/>
    <s v="F9"/>
    <n v="355"/>
    <s v="003"/>
    <s v="MERITO CENTER LTDA "/>
    <n v="68192475000160"/>
    <n v="646.66999999999996"/>
    <x v="40"/>
    <s v="DISPONÍVEL"/>
    <m/>
    <m/>
    <x v="2"/>
    <n v="45"/>
    <m/>
    <m/>
    <m/>
    <m/>
    <m/>
    <m/>
  </r>
  <r>
    <s v="ALUFORCE"/>
    <d v="2026-01-30T00:00:00"/>
    <s v="NF"/>
    <n v="356"/>
    <s v="001"/>
    <s v="GASPARZINHO DISTRIBUIDORA DE MATERIAIS ELETRICOS LTDA"/>
    <n v="2042020000150"/>
    <n v="2520"/>
    <x v="41"/>
    <s v="DISPONÍVEL"/>
    <m/>
    <m/>
    <x v="2"/>
    <n v="37"/>
    <m/>
    <m/>
    <m/>
    <m/>
    <m/>
    <m/>
  </r>
  <r>
    <s v="ALUFORCE"/>
    <d v="2026-01-30T00:00:00"/>
    <s v="NF"/>
    <n v="356"/>
    <s v="002"/>
    <s v="GASPARZINHO DISTRIBUIDORA DE MATERIAIS ELETRICOS LTDA"/>
    <n v="2042020000150"/>
    <n v="2520"/>
    <x v="45"/>
    <s v="DISPONÍVEL"/>
    <m/>
    <m/>
    <x v="2"/>
    <n v="52"/>
    <m/>
    <m/>
    <m/>
    <m/>
    <m/>
    <m/>
  </r>
  <r>
    <s v="ALUFORCE"/>
    <d v="2026-01-30T00:00:00"/>
    <s v="NF"/>
    <n v="356"/>
    <s v="003"/>
    <s v="GASPARZINHO DISTRIBUIDORA DE MATERIAIS ELETRICOS LTDA"/>
    <n v="2042020000150"/>
    <n v="2520"/>
    <x v="70"/>
    <s v="DISPONÍVEL"/>
    <m/>
    <m/>
    <x v="2"/>
    <n v="67"/>
    <m/>
    <m/>
    <m/>
    <m/>
    <m/>
    <m/>
  </r>
  <r>
    <s v="ALUFORCE"/>
    <d v="2026-01-30T00:00:00"/>
    <s v="F9"/>
    <n v="356"/>
    <s v="001"/>
    <s v="GASPARZINHO DISTRIBUIDORA DE MATERIAIS ELETRICOS LTDA"/>
    <n v="2042020000150"/>
    <n v="2520"/>
    <x v="41"/>
    <s v="DISPONÍVEL"/>
    <m/>
    <m/>
    <x v="2"/>
    <n v="37"/>
    <m/>
    <m/>
    <m/>
    <m/>
    <m/>
    <m/>
  </r>
  <r>
    <s v="ALUFORCE"/>
    <d v="2026-01-30T00:00:00"/>
    <s v="F9"/>
    <n v="356"/>
    <s v="002"/>
    <s v="GASPARZINHO DISTRIBUIDORA DE MATERIAIS ELETRICOS LTDA"/>
    <n v="2042020000150"/>
    <n v="2520"/>
    <x v="45"/>
    <s v="DISPONÍVEL"/>
    <m/>
    <m/>
    <x v="2"/>
    <n v="52"/>
    <m/>
    <m/>
    <m/>
    <m/>
    <m/>
    <m/>
  </r>
  <r>
    <s v="ALUFORCE"/>
    <d v="2026-01-30T00:00:00"/>
    <s v="F9"/>
    <n v="356"/>
    <s v="003"/>
    <s v="GASPARZINHO DISTRIBUIDORA DE MATERIAIS ELETRICOS LTDA"/>
    <n v="2042020000150"/>
    <n v="2520"/>
    <x v="70"/>
    <s v="DISPONÍVEL"/>
    <m/>
    <m/>
    <x v="2"/>
    <n v="67"/>
    <m/>
    <m/>
    <m/>
    <m/>
    <m/>
    <m/>
  </r>
  <r>
    <s v="ALUFORCE"/>
    <d v="2025-12-05T00:00:00"/>
    <s v="NF"/>
    <s v="223"/>
    <s v="003"/>
    <s v="ELETRO MARKS COMERCIO DE MATERIAIS PARA CONSTRUCAO E SERVICOS"/>
    <s v="13.844.828/0001-78"/>
    <n v="1033.33"/>
    <x v="9"/>
    <s v="OPERADO"/>
    <s v="VALE RIO CLARO"/>
    <m/>
    <x v="0"/>
    <n v="-14"/>
    <s v="LIQUIDADO"/>
    <m/>
    <m/>
    <m/>
    <m/>
    <m/>
  </r>
  <r>
    <s v="ALUFORCE"/>
    <d v="2025-12-05T00:00:00"/>
    <s v="NF"/>
    <s v="225"/>
    <s v="003"/>
    <s v="DME DISTRIBUIDORA DE MATERIAIS ELETRICOS LTDA"/>
    <s v="21.826.291/0001-41"/>
    <n v="1561"/>
    <x v="9"/>
    <s v="OPERADO"/>
    <s v="VALE RIO CLARO"/>
    <m/>
    <x v="0"/>
    <n v="-14"/>
    <s v="LIQUIDADO"/>
    <m/>
    <m/>
    <m/>
    <m/>
    <m/>
  </r>
  <r>
    <s v="ALUFORCE"/>
    <d v="2025-12-05T00:00:00"/>
    <s v="NF"/>
    <s v="225"/>
    <s v="004"/>
    <s v="DME DISTRIBUIDORA DE MATERIAIS ELETRICOS LTDA"/>
    <s v="21.826.291/0001-41"/>
    <n v="1561"/>
    <x v="6"/>
    <s v="OPERADO"/>
    <s v="VALE RIO CLARO"/>
    <m/>
    <x v="0"/>
    <n v="-7"/>
    <s v="LIQUIDADO"/>
    <m/>
    <m/>
    <m/>
    <m/>
    <m/>
  </r>
  <r>
    <s v="ALUFORCE"/>
    <d v="2025-12-05T00:00:00"/>
    <s v="NF"/>
    <s v="223"/>
    <s v="002"/>
    <s v="ELETRO MARKS COMERCIO DE MATERIAIS PARA CONSTRUCAO E SERVICOS"/>
    <s v="13.844.828/0001-78"/>
    <n v="1033.3399999999999"/>
    <x v="3"/>
    <s v="OPERADO"/>
    <s v="VALE RIO CLARO"/>
    <m/>
    <x v="0"/>
    <n v="-21"/>
    <s v="LIQUIDADO"/>
    <m/>
    <m/>
    <m/>
    <m/>
    <m/>
  </r>
  <r>
    <s v="ALUFORCE"/>
    <d v="2025-12-05T00:00:00"/>
    <s v="NF"/>
    <s v="225"/>
    <s v="002"/>
    <s v="DME DISTRIBUIDORA DE MATERIAIS ELETRICOS LTDA"/>
    <s v="21.826.291/0001-41"/>
    <n v="1561"/>
    <x v="3"/>
    <s v="OPERADO"/>
    <s v="VALE RIO CLARO"/>
    <m/>
    <x v="0"/>
    <n v="-21"/>
    <s v="LIQUIDADO"/>
    <m/>
    <m/>
    <m/>
    <m/>
    <m/>
  </r>
  <r>
    <s v="ENERGY"/>
    <d v="2025-12-08T00:00:00"/>
    <s v="NF"/>
    <s v="685"/>
    <s v="002"/>
    <s v="MENG ENGENHARIA COMERCIO E INDUSTRIA LTDA."/>
    <s v="49.670.524/0001-89"/>
    <n v="4000"/>
    <x v="3"/>
    <s v="OPERADO"/>
    <s v="FAMA"/>
    <m/>
    <x v="0"/>
    <n v="-21"/>
    <s v="LIQUIDADO"/>
    <m/>
    <m/>
    <m/>
    <m/>
    <m/>
  </r>
  <r>
    <s v="ALUFORCE"/>
    <d v="2025-12-09T00:00:00"/>
    <s v="NF"/>
    <s v="230"/>
    <s v="003"/>
    <s v="ENERGIZE COMERCIO E SERVICOS DE MATERIAIS ELETRICOS LTDA"/>
    <s v="50.160.305/0001-39"/>
    <n v="701.67"/>
    <x v="7"/>
    <s v="OPERADO"/>
    <s v="H8"/>
    <m/>
    <x v="0"/>
    <n v="-13"/>
    <s v="LIQUIDADO"/>
    <m/>
    <m/>
    <m/>
    <m/>
    <m/>
  </r>
  <r>
    <s v="ALUFORCE"/>
    <d v="2025-12-09T00:00:00"/>
    <s v="NF"/>
    <s v="230"/>
    <s v="002"/>
    <s v="ENERGIZE COMERCIO E SERVICOS DE MATERIAIS ELETRICOS LTDA"/>
    <s v="50.160.305/0001-39"/>
    <n v="701.67"/>
    <x v="8"/>
    <s v="OPERADO"/>
    <s v="H8"/>
    <m/>
    <x v="0"/>
    <n v="-20"/>
    <s v="LIQUIDADO"/>
    <m/>
    <m/>
    <m/>
    <m/>
    <m/>
  </r>
  <r>
    <s v="ALUFORCE"/>
    <d v="2025-12-11T00:00:00"/>
    <s v="NF"/>
    <s v="236"/>
    <s v="001"/>
    <s v="ILUMINACAO PAULISTANA SPE S/A"/>
    <s v="29.851.606/0001-12"/>
    <n v="49863.6"/>
    <x v="4"/>
    <s v="OPERADO"/>
    <s v="FAMA"/>
    <m/>
    <x v="0"/>
    <n v="-25"/>
    <s v="LIQUIDADO"/>
    <m/>
    <m/>
    <m/>
    <m/>
    <m/>
  </r>
  <r>
    <s v="ALUFORCE"/>
    <d v="2025-12-11T00:00:00"/>
    <s v="NF"/>
    <s v="237"/>
    <s v="001"/>
    <s v="ILUMINACAO PAULISTANA SPE S/A"/>
    <s v="29.851.606/0001-12"/>
    <n v="12781.8"/>
    <x v="4"/>
    <s v="OPERADO"/>
    <s v="FAMA"/>
    <m/>
    <x v="0"/>
    <n v="-25"/>
    <s v="LIQUIDADO"/>
    <m/>
    <m/>
    <m/>
    <m/>
    <m/>
  </r>
  <r>
    <s v="ALUFORCE"/>
    <d v="2025-12-11T00:00:00"/>
    <s v="F9"/>
    <s v="234"/>
    <s v="002"/>
    <s v="MNS MOREIRA COMERCIO DE ILUMINACAO LTDA"/>
    <s v="08.752.660/0001-30"/>
    <n v="5063.33"/>
    <x v="9"/>
    <s v="OPERADO"/>
    <s v="H8"/>
    <m/>
    <x v="0"/>
    <n v="-14"/>
    <s v="LIQUIDADO"/>
    <m/>
    <m/>
    <m/>
    <m/>
    <m/>
  </r>
  <r>
    <s v="LABOR"/>
    <d v="2025-12-11T00:00:00"/>
    <s v="NF"/>
    <s v="4272"/>
    <s v="002"/>
    <s v="CORREIA ATACADO MATERIAL ELETRICO LTDA"/>
    <s v="07.453.496/0001-06"/>
    <n v="1845"/>
    <x v="75"/>
    <s v="OPERADO"/>
    <s v="H8"/>
    <m/>
    <x v="0"/>
    <n v="-4"/>
    <s v="LIQUIDADO"/>
    <m/>
    <m/>
    <m/>
    <m/>
    <m/>
  </r>
  <r>
    <s v="ALUFORCE"/>
    <d v="2025-12-11T00:00:00"/>
    <s v="F9"/>
    <s v="234"/>
    <s v="003"/>
    <s v="MNS MOREIRA COMERCIO DE ILUMINACAO LTDA"/>
    <s v="08.752.660/0001-30"/>
    <n v="5063.34"/>
    <x v="6"/>
    <s v="OPERADO"/>
    <s v="H8"/>
    <m/>
    <x v="0"/>
    <n v="-7"/>
    <s v="LIQUIDADO"/>
    <m/>
    <m/>
    <m/>
    <m/>
    <m/>
  </r>
  <r>
    <s v="ALUFORCE"/>
    <d v="2025-12-11T00:00:00"/>
    <s v="F9"/>
    <s v="234"/>
    <s v="001"/>
    <s v="MNS MOREIRA COMERCIO DE ILUMINACAO LTDA"/>
    <s v="08.752.660/0001-30"/>
    <n v="5063.33"/>
    <x v="3"/>
    <s v="OPERADO"/>
    <s v="H8"/>
    <m/>
    <x v="0"/>
    <n v="-21"/>
    <s v="LIQUIDADO"/>
    <m/>
    <m/>
    <m/>
    <m/>
    <m/>
  </r>
  <r>
    <s v="ALUFORCE"/>
    <d v="2025-12-11T00:00:00"/>
    <s v="F9"/>
    <s v="232"/>
    <s v="001"/>
    <s v="LUZ ATUAL ILUMINACAO LTDA"/>
    <s v="20.112.049/0001-43"/>
    <n v="1320"/>
    <x v="4"/>
    <s v="OPERADO"/>
    <s v="H8"/>
    <m/>
    <x v="0"/>
    <n v="-25"/>
    <s v="LIQUIDADO"/>
    <m/>
    <m/>
    <m/>
    <m/>
    <m/>
  </r>
  <r>
    <s v="ALUFORCE"/>
    <d v="2025-12-11T00:00:00"/>
    <s v="F9"/>
    <s v="232"/>
    <s v="002"/>
    <s v="LUZ ATUAL ILUMINACAO LTDA"/>
    <s v="20.112.049/0001-43"/>
    <n v="1320"/>
    <x v="2"/>
    <s v="OPERADO"/>
    <s v="H8"/>
    <m/>
    <x v="0"/>
    <n v="-18"/>
    <s v="LIQUIDADO"/>
    <m/>
    <m/>
    <m/>
    <m/>
    <m/>
  </r>
  <r>
    <s v="LABOR"/>
    <d v="2025-12-11T00:00:00"/>
    <s v="NF"/>
    <s v="4272"/>
    <s v="001"/>
    <s v="CORREIA ATACADO MATERIAL ELETRICO LTDA"/>
    <s v="07.453.496/0001-06"/>
    <n v="1845"/>
    <x v="44"/>
    <s v="OPERADO"/>
    <s v="H8"/>
    <m/>
    <x v="0"/>
    <n v="-19"/>
    <s v="LIQUIDADO"/>
    <m/>
    <m/>
    <m/>
    <m/>
    <m/>
  </r>
  <r>
    <s v="ALUFORCE"/>
    <d v="2025-12-12T00:00:00"/>
    <s v="NF"/>
    <s v="238"/>
    <s v="001"/>
    <s v="ILUMINACAO PAULISTANA SPE S/A"/>
    <s v="29.851.606/0001-12"/>
    <n v="58125"/>
    <x v="11"/>
    <s v="OPERADO"/>
    <s v="FAMA"/>
    <m/>
    <x v="0"/>
    <n v="-24"/>
    <s v="LIQUIDADO"/>
    <m/>
    <m/>
    <m/>
    <m/>
    <m/>
  </r>
  <r>
    <s v="ALUFORCE"/>
    <d v="2025-12-12T00:00:00"/>
    <s v="F9"/>
    <s v="239"/>
    <s v="002"/>
    <s v="FERLIN &amp; ANDRADE MATERIAIS ELETRICOS LTDA"/>
    <s v="01.532.397/0001-25"/>
    <n v="1887.96"/>
    <x v="6"/>
    <s v="OPERADO"/>
    <s v="H8"/>
    <m/>
    <x v="0"/>
    <n v="-7"/>
    <s v="LIQUIDADO"/>
    <m/>
    <m/>
    <m/>
    <m/>
    <m/>
  </r>
  <r>
    <s v="LABOR"/>
    <d v="2025-12-12T00:00:00"/>
    <s v="NF"/>
    <s v="4274"/>
    <s v="001"/>
    <s v="RUANA XAVIER DE ALMEIDA DA SILVA"/>
    <s v="59.486.840/0001-59"/>
    <n v="3752.1"/>
    <x v="11"/>
    <s v="OPERADO"/>
    <s v="H8"/>
    <m/>
    <x v="0"/>
    <n v="-24"/>
    <s v="LIQUIDADO"/>
    <m/>
    <m/>
    <m/>
    <m/>
    <m/>
  </r>
  <r>
    <s v="ALUFORCE"/>
    <d v="2025-12-12T00:00:00"/>
    <s v="F9"/>
    <s v="239"/>
    <s v="001"/>
    <s v="FERLIN &amp; ANDRADE MATERIAIS ELETRICOS LTDA"/>
    <s v="01.532.397/0001-25"/>
    <n v="1887.96"/>
    <x v="12"/>
    <s v="OPERADO"/>
    <s v="H8"/>
    <m/>
    <x v="0"/>
    <n v="-17"/>
    <s v="LIQUIDADO"/>
    <m/>
    <m/>
    <m/>
    <m/>
    <m/>
  </r>
  <r>
    <s v="LABOR"/>
    <d v="2025-12-12T00:00:00"/>
    <s v="NF"/>
    <s v="4274"/>
    <s v="001"/>
    <s v="RUANA XAVIER DE ALMEIDA DA SILVA"/>
    <s v="59.486.840/0001-59"/>
    <n v="3411"/>
    <x v="11"/>
    <s v="OPERADO"/>
    <s v="H8"/>
    <m/>
    <x v="0"/>
    <n v="-24"/>
    <s v="LIQUIDADO"/>
    <m/>
    <m/>
    <m/>
    <m/>
    <m/>
  </r>
  <r>
    <s v="ALUFORCE"/>
    <d v="2025-12-16T00:00:00"/>
    <s v="F9"/>
    <s v="248"/>
    <s v="002"/>
    <s v="ATUALLLED DISTRIBUIDORA DE MATERIAIS ELETRICOS LTDA"/>
    <s v="47.717.410/0001-11"/>
    <n v="602.53"/>
    <x v="7"/>
    <s v="OPERADO"/>
    <s v="H8"/>
    <m/>
    <x v="0"/>
    <n v="-13"/>
    <s v="LIQUIDADO"/>
    <m/>
    <m/>
    <m/>
    <m/>
    <m/>
  </r>
  <r>
    <s v="ALUFORCE"/>
    <d v="2025-12-16T00:00:00"/>
    <s v="F9"/>
    <s v="248"/>
    <s v="003"/>
    <s v="ATUALLLED DISTRIBUIDORA DE MATERIAIS ELETRICOS LTDA"/>
    <s v="47.717.410/0001-11"/>
    <n v="602.53"/>
    <x v="57"/>
    <s v="OPERADO"/>
    <s v="H8"/>
    <m/>
    <x v="0"/>
    <n v="-6"/>
    <s v="LIQUIDADO"/>
    <m/>
    <m/>
    <m/>
    <m/>
    <m/>
  </r>
  <r>
    <s v="LABOR"/>
    <d v="2025-12-16T00:00:00"/>
    <s v="NF"/>
    <s v="4277"/>
    <s v="002"/>
    <s v="TF TRANSFORMOTORES LTDA"/>
    <s v="10.723.181/0001-38"/>
    <n v="2218"/>
    <x v="7"/>
    <s v="OPERADO"/>
    <s v="H8"/>
    <m/>
    <x v="0"/>
    <n v="-13"/>
    <s v="LIQUIDADO"/>
    <m/>
    <m/>
    <m/>
    <m/>
    <m/>
  </r>
  <r>
    <s v="LABOR"/>
    <d v="2025-12-16T00:00:00"/>
    <s v="NF"/>
    <s v="4277"/>
    <s v="003"/>
    <s v="TF TRANSFORMOTORES LTDA"/>
    <s v="10.723.181/0001-38"/>
    <n v="2218"/>
    <x v="57"/>
    <s v="OPERADO"/>
    <s v="H8"/>
    <m/>
    <x v="0"/>
    <n v="-6"/>
    <s v="LIQUIDADO"/>
    <m/>
    <m/>
    <m/>
    <m/>
    <m/>
  </r>
  <r>
    <s v="LABOR"/>
    <d v="2025-12-16T00:00:00"/>
    <s v="NF"/>
    <s v="4279"/>
    <s v="002"/>
    <s v="ADRIANA POSTE PADRAO E SERVICOS LTDA"/>
    <s v="39.015.045/0001-75"/>
    <n v="2327.5"/>
    <x v="10"/>
    <s v="OPERADO"/>
    <s v="H8"/>
    <m/>
    <x v="0"/>
    <n v="-12"/>
    <s v="LIQUIDADO"/>
    <m/>
    <m/>
    <m/>
    <m/>
    <m/>
  </r>
  <r>
    <s v="LABOR"/>
    <d v="2025-12-16T00:00:00"/>
    <s v="NF"/>
    <s v="4279"/>
    <s v="003"/>
    <s v="ADRIANA POSTE PADRAO E SERVICOS LTDA"/>
    <s v="39.015.045/0001-75"/>
    <n v="2327.5"/>
    <x v="76"/>
    <s v="OPERADO"/>
    <s v="H8"/>
    <m/>
    <x v="0"/>
    <n v="-5"/>
    <s v="LIQUIDADO"/>
    <m/>
    <m/>
    <m/>
    <m/>
    <m/>
  </r>
  <r>
    <s v="ALUFORCE"/>
    <d v="2025-12-16T00:00:00"/>
    <s v="F9"/>
    <s v="248"/>
    <s v="001"/>
    <s v="ATUALLLED DISTRIBUIDORA DE MATERIAIS ELETRICOS LTDA"/>
    <s v="47.717.410/0001-11"/>
    <n v="602.53"/>
    <x v="8"/>
    <s v="OPERADO"/>
    <s v="H8"/>
    <m/>
    <x v="0"/>
    <n v="-20"/>
    <s v="LIQUIDADO"/>
    <m/>
    <m/>
    <m/>
    <m/>
    <m/>
  </r>
  <r>
    <s v="LABOR"/>
    <d v="2025-12-16T00:00:00"/>
    <s v="NF"/>
    <s v="4277"/>
    <s v="001"/>
    <s v="TF TRANSFORMOTORES LTDA"/>
    <s v="10.723.181/0001-38"/>
    <n v="2218"/>
    <x v="8"/>
    <s v="OPERADO"/>
    <s v="H8"/>
    <m/>
    <x v="0"/>
    <n v="-20"/>
    <s v="LIQUIDADO"/>
    <m/>
    <m/>
    <m/>
    <m/>
    <m/>
  </r>
  <r>
    <s v="ALUFORCE"/>
    <d v="2025-12-16T00:00:00"/>
    <s v="F9"/>
    <s v="246"/>
    <s v="001"/>
    <s v="COMERCIAL MARTINS LTDA"/>
    <s v="20.891.953/0001-02"/>
    <n v="4348.67"/>
    <x v="77"/>
    <s v="OPERADO"/>
    <s v="H8"/>
    <m/>
    <x v="0"/>
    <n v="-15"/>
    <s v="LIQUIDADO"/>
    <m/>
    <m/>
    <m/>
    <m/>
    <m/>
  </r>
  <r>
    <s v="LABOR"/>
    <d v="2025-12-16T00:00:00"/>
    <s v="NF"/>
    <s v="4278"/>
    <s v="001"/>
    <s v="IMPERIO DA CONSTRUCAO LTDA"/>
    <s v="33.485.605/0001-79"/>
    <n v="2407.5"/>
    <x v="2"/>
    <s v="OPERADO"/>
    <s v="H8"/>
    <m/>
    <x v="0"/>
    <n v="-18"/>
    <s v="LIQUIDADO"/>
    <m/>
    <m/>
    <m/>
    <m/>
    <m/>
  </r>
  <r>
    <s v="LABOR"/>
    <d v="2025-12-16T00:00:00"/>
    <s v="NF"/>
    <s v="4279"/>
    <s v="001"/>
    <s v="ADRIANA POSTE PADRAO E SERVICOS LTDA"/>
    <s v="39.015.045/0001-75"/>
    <n v="3031.34"/>
    <x v="44"/>
    <s v="OPERADO"/>
    <s v="H8"/>
    <m/>
    <x v="0"/>
    <n v="-19"/>
    <s v="LIQUIDADO"/>
    <m/>
    <m/>
    <m/>
    <m/>
    <m/>
  </r>
  <r>
    <s v="ALUFORCE"/>
    <d v="2025-12-16T00:00:00"/>
    <s v="NF"/>
    <s v="247"/>
    <s v="002"/>
    <s v="P MARGOTTI MACHADO LTDA"/>
    <s v="24.710.525/0001-89"/>
    <n v="7582"/>
    <x v="1"/>
    <s v="OPERADO"/>
    <s v="VALE RIO CLARO"/>
    <m/>
    <x v="0"/>
    <n v="-10"/>
    <s v="LIQUIDADO"/>
    <m/>
    <m/>
    <m/>
    <m/>
    <m/>
  </r>
  <r>
    <s v="ALUFORCE"/>
    <d v="2025-12-16T00:00:00"/>
    <s v="NF"/>
    <s v="248"/>
    <s v="002"/>
    <s v="ATUALLLED DISTRIBUIDORA DE MATERIAIS ELETRICOS LTDA"/>
    <s v="47.717.410/0001-11"/>
    <n v="602.53"/>
    <x v="7"/>
    <s v="OPERADO"/>
    <s v="VALE RIO CLARO"/>
    <m/>
    <x v="0"/>
    <n v="-13"/>
    <s v="LIQUIDADO"/>
    <m/>
    <m/>
    <m/>
    <m/>
    <m/>
  </r>
  <r>
    <s v="ALUFORCE"/>
    <d v="2025-12-16T00:00:00"/>
    <s v="NF"/>
    <s v="248"/>
    <s v="003"/>
    <s v="ATUALLLED DISTRIBUIDORA DE MATERIAIS ELETRICOS LTDA"/>
    <s v="47.717.410/0001-11"/>
    <n v="602.53"/>
    <x v="57"/>
    <s v="OPERADO"/>
    <s v="VALE RIO CLARO"/>
    <m/>
    <x v="0"/>
    <n v="-6"/>
    <s v="LIQUIDADO"/>
    <m/>
    <m/>
    <m/>
    <m/>
    <m/>
  </r>
  <r>
    <s v="ENERGY"/>
    <d v="2025-12-16T00:00:00"/>
    <s v="NF"/>
    <s v="697"/>
    <s v="001"/>
    <s v="TEREZINA LUZ S. A "/>
    <s v="36.681.899/0001-00"/>
    <n v="48900"/>
    <x v="0"/>
    <s v="OPERADO"/>
    <s v="VALE RIO CLARO"/>
    <m/>
    <x v="0"/>
    <n v="-11"/>
    <s v="LIQUIDADO"/>
    <m/>
    <m/>
    <m/>
    <m/>
    <s v="comissaria"/>
  </r>
  <r>
    <s v="ALUFORCE"/>
    <d v="2025-12-16T00:00:00"/>
    <s v="NF"/>
    <s v="248"/>
    <s v="001"/>
    <s v="ATUALLLED DISTRIBUIDORA DE MATERIAIS ELETRICOS LTDA"/>
    <s v="47.717.410/0001-11"/>
    <n v="739.19"/>
    <x v="8"/>
    <s v="OPERADO"/>
    <s v="VALE RIO CLARO"/>
    <m/>
    <x v="0"/>
    <n v="-20"/>
    <s v="LIQUIDADO"/>
    <m/>
    <m/>
    <m/>
    <m/>
    <m/>
  </r>
  <r>
    <s v="ALUFORCE"/>
    <d v="2025-12-16T00:00:00"/>
    <s v="NF"/>
    <s v="246"/>
    <s v="001"/>
    <s v="COMERCIAL MARTINS LTDA"/>
    <s v="20.891.953/0001-02"/>
    <n v="4348.67"/>
    <x v="77"/>
    <s v="OPERADO"/>
    <s v="VALE RIO CLARO"/>
    <m/>
    <x v="0"/>
    <n v="-15"/>
    <s v="LIQUIDADO"/>
    <m/>
    <m/>
    <m/>
    <m/>
    <m/>
  </r>
  <r>
    <s v="ALUFORCE"/>
    <d v="2025-12-16T00:00:00"/>
    <s v="NF"/>
    <s v="247"/>
    <s v="001"/>
    <s v="P MARGOTTI MACHADO LTDA"/>
    <s v="24.710.525/0001-89"/>
    <n v="7582"/>
    <x v="12"/>
    <s v="OPERADO"/>
    <s v="VALE RIO CLARO"/>
    <m/>
    <x v="0"/>
    <n v="-17"/>
    <s v="LIQUIDADO"/>
    <m/>
    <m/>
    <m/>
    <m/>
    <m/>
  </r>
  <r>
    <s v="ALUFORCE"/>
    <d v="2025-12-17T00:00:00"/>
    <s v="NF"/>
    <s v="250"/>
    <s v="002"/>
    <s v="AL CONESUL VALVULAS INDUSTRIAIS LTDA"/>
    <s v="11.505.308/0001-05"/>
    <n v="500"/>
    <x v="0"/>
    <s v="OPERADO"/>
    <s v="H8"/>
    <m/>
    <x v="0"/>
    <n v="-11"/>
    <s v="LIQUIDADO"/>
    <m/>
    <m/>
    <m/>
    <m/>
    <m/>
  </r>
  <r>
    <s v="ALUFORCE"/>
    <d v="2025-12-17T00:00:00"/>
    <s v="F9"/>
    <s v="250"/>
    <s v="002"/>
    <s v="AL CONESUL VALVULAS INDUSTRIAIS LTDA"/>
    <s v="11.505.308/0001-05"/>
    <n v="500"/>
    <x v="0"/>
    <s v="OPERADO"/>
    <s v="H8"/>
    <m/>
    <x v="0"/>
    <n v="-11"/>
    <s v="LIQUIDADO"/>
    <m/>
    <m/>
    <m/>
    <m/>
    <m/>
  </r>
  <r>
    <s v="LABOR"/>
    <d v="2025-12-17T00:00:00"/>
    <s v="NF"/>
    <s v="4280"/>
    <s v="002"/>
    <s v="HOSP CENTER COMERCIO DE PRODUTOS ODONTO-MEDICO-HOSPITALAR LTDA"/>
    <s v="16.642.091/0001-07"/>
    <n v="3150"/>
    <x v="10"/>
    <s v="OPERADO"/>
    <s v="H8"/>
    <m/>
    <x v="0"/>
    <n v="-12"/>
    <s v="LIQUIDADO"/>
    <m/>
    <m/>
    <m/>
    <m/>
    <m/>
  </r>
  <r>
    <s v="LABOR"/>
    <d v="2025-12-17T00:00:00"/>
    <s v="NF"/>
    <s v="4280"/>
    <s v="001"/>
    <s v="HOSP CENTER COMERCIO DE PRODUTOS ODONTO-MEDICO-HOSPITALAR LTDA"/>
    <s v="16.642.091/0001-07"/>
    <n v="3150"/>
    <x v="44"/>
    <s v="OPERADO"/>
    <s v="H8"/>
    <m/>
    <x v="0"/>
    <n v="-19"/>
    <s v="LIQUIDADO"/>
    <m/>
    <m/>
    <m/>
    <m/>
    <m/>
  </r>
  <r>
    <s v="ALUFORCE"/>
    <d v="2025-12-17T00:00:00"/>
    <s v="NF"/>
    <s v="249"/>
    <s v="001"/>
    <s v="LF ELETRIFICACOES LTDA"/>
    <s v="28.876.680/0001-20"/>
    <n v="1061.67"/>
    <x v="18"/>
    <s v="OPERADO"/>
    <s v="H8"/>
    <m/>
    <x v="0"/>
    <n v="-16"/>
    <s v="LIQUIDADO"/>
    <m/>
    <m/>
    <m/>
    <m/>
    <m/>
  </r>
  <r>
    <s v="ALUFORCE"/>
    <d v="2025-12-17T00:00:00"/>
    <s v="F9"/>
    <s v="249"/>
    <s v="001"/>
    <s v="LF ELETRIFICACOES LTDA"/>
    <s v="28.876.680/0001-20"/>
    <n v="1061.67"/>
    <x v="18"/>
    <s v="OPERADO"/>
    <s v="H8"/>
    <m/>
    <x v="0"/>
    <n v="-16"/>
    <s v="LIQUIDADO"/>
    <m/>
    <m/>
    <m/>
    <m/>
    <m/>
  </r>
  <r>
    <s v="ALUFORCE"/>
    <d v="2025-12-17T00:00:00"/>
    <s v="NF"/>
    <s v="250"/>
    <s v="001"/>
    <s v="AL CONESUL VALVULAS INDUSTRIAIS LTDA"/>
    <s v="11.505.308/0001-05"/>
    <n v="500"/>
    <x v="2"/>
    <s v="OPERADO"/>
    <s v="H8"/>
    <m/>
    <x v="0"/>
    <n v="-18"/>
    <s v="LIQUIDADO"/>
    <m/>
    <m/>
    <m/>
    <m/>
    <m/>
  </r>
  <r>
    <s v="ALUFORCE"/>
    <d v="2025-12-17T00:00:00"/>
    <s v="F9"/>
    <s v="250"/>
    <s v="001"/>
    <s v="AL CONESUL VALVULAS INDUSTRIAIS LTDA"/>
    <s v="11.505.308/0001-05"/>
    <n v="500"/>
    <x v="2"/>
    <s v="OPERADO"/>
    <s v="H8"/>
    <m/>
    <x v="0"/>
    <n v="-18"/>
    <s v="LIQUIDADO"/>
    <m/>
    <m/>
    <m/>
    <m/>
    <m/>
  </r>
  <r>
    <s v="ALUFORCE"/>
    <d v="2025-12-18T00:00:00"/>
    <s v="NF"/>
    <s v="258"/>
    <s v="002"/>
    <s v="MORAIS &amp; MARTINS LTDA"/>
    <s v="08.183.094/0001-93"/>
    <n v="1440"/>
    <x v="1"/>
    <s v="OPERADO"/>
    <s v="H8"/>
    <m/>
    <x v="0"/>
    <n v="-10"/>
    <s v="LIQUIDADO"/>
    <m/>
    <m/>
    <m/>
    <m/>
    <m/>
  </r>
  <r>
    <s v="ALUFORCE"/>
    <d v="2025-12-18T00:00:00"/>
    <s v="NF"/>
    <s v="259"/>
    <s v="002"/>
    <s v="IVAM FELIPE"/>
    <s v="22.269.466/0001-20"/>
    <n v="1148.6199999999999"/>
    <x v="1"/>
    <s v="OPERADO"/>
    <s v="H8"/>
    <m/>
    <x v="0"/>
    <n v="-10"/>
    <s v="LIQUIDADO"/>
    <m/>
    <m/>
    <m/>
    <m/>
    <m/>
  </r>
  <r>
    <s v="ALUFORCE"/>
    <d v="2025-12-18T00:00:00"/>
    <s v="F9"/>
    <s v="259"/>
    <s v="002"/>
    <s v="IVAM FELIPE"/>
    <s v="22.269.466/0001-20"/>
    <n v="1148.6199999999999"/>
    <x v="1"/>
    <s v="OPERADO"/>
    <s v="H8"/>
    <m/>
    <x v="0"/>
    <n v="-10"/>
    <s v="LIQUIDADO"/>
    <m/>
    <m/>
    <m/>
    <m/>
    <m/>
  </r>
  <r>
    <s v="LABOR"/>
    <d v="2025-12-18T00:00:00"/>
    <s v="NF"/>
    <s v="4281"/>
    <s v="002"/>
    <s v="RDM CAMPINAS COMERCIO DE MATERIAIS ELETRICOS LTDA"/>
    <s v="40.919.972/0001-07"/>
    <n v="1114.24"/>
    <x v="0"/>
    <s v="OPERADO"/>
    <s v="H8"/>
    <m/>
    <x v="0"/>
    <n v="-11"/>
    <s v="LIQUIDADO"/>
    <m/>
    <m/>
    <m/>
    <m/>
    <m/>
  </r>
  <r>
    <s v="ALUFORCE"/>
    <d v="2025-12-18T00:00:00"/>
    <s v="NF"/>
    <s v="258"/>
    <s v="001"/>
    <s v="MORAIS &amp; MARTINS LTDA"/>
    <s v="08.183.094/0001-93"/>
    <n v="1440"/>
    <x v="12"/>
    <s v="OPERADO"/>
    <s v="H8"/>
    <m/>
    <x v="0"/>
    <n v="-17"/>
    <s v="LIQUIDADO"/>
    <m/>
    <m/>
    <m/>
    <m/>
    <m/>
  </r>
  <r>
    <s v="ALUFORCE"/>
    <d v="2025-12-18T00:00:00"/>
    <s v="NF"/>
    <s v="259"/>
    <s v="001"/>
    <s v="IVAM FELIPE"/>
    <s v="22.269.466/0001-20"/>
    <n v="1495.98"/>
    <x v="12"/>
    <s v="OPERADO"/>
    <s v="H8"/>
    <m/>
    <x v="0"/>
    <n v="-17"/>
    <s v="LIQUIDADO"/>
    <m/>
    <m/>
    <m/>
    <m/>
    <m/>
  </r>
  <r>
    <s v="ALUFORCE"/>
    <d v="2025-12-18T00:00:00"/>
    <s v="F9"/>
    <s v="259"/>
    <s v="001"/>
    <s v="IVAM FELIPE"/>
    <s v="22.269.466/0001-20"/>
    <n v="1148.6199999999999"/>
    <x v="12"/>
    <s v="OPERADO"/>
    <s v="H8"/>
    <m/>
    <x v="0"/>
    <n v="-17"/>
    <s v="LIQUIDADO"/>
    <m/>
    <m/>
    <m/>
    <m/>
    <m/>
  </r>
  <r>
    <s v="LABOR"/>
    <d v="2025-12-18T00:00:00"/>
    <s v="NF"/>
    <s v="4281"/>
    <s v="001"/>
    <s v="RDM CAMPINAS COMERCIO DE MATERIAIS ELETRICOS LTDA"/>
    <s v="40.919.972/0001-07"/>
    <n v="1535.42"/>
    <x v="2"/>
    <s v="OPERADO"/>
    <s v="H8"/>
    <m/>
    <x v="0"/>
    <n v="-18"/>
    <s v="LIQUIDADO"/>
    <m/>
    <m/>
    <m/>
    <m/>
    <m/>
  </r>
  <r>
    <s v="ALUFORCE"/>
    <d v="2025-12-18T00:00:00"/>
    <s v="NF"/>
    <s v="256"/>
    <s v="001"/>
    <s v="ILUMINACAO PAULISTANA SPE S/A"/>
    <s v="29.851.606/0001-12"/>
    <n v="41075"/>
    <x v="9"/>
    <s v="OPERADO"/>
    <s v="LEPTA"/>
    <m/>
    <x v="0"/>
    <n v="-14"/>
    <s v="LIQUIDADO"/>
    <m/>
    <m/>
    <m/>
    <m/>
    <s v="comissaria"/>
  </r>
  <r>
    <s v="ALUFORCE"/>
    <d v="2025-12-18T00:00:00"/>
    <s v="NF"/>
    <s v="257"/>
    <s v="001"/>
    <s v="ILUMINACAO PAULISTANA SPE S/A"/>
    <s v="29.851.606/0001-12"/>
    <n v="120000"/>
    <x v="9"/>
    <s v="OPERADO"/>
    <s v="LEPTA"/>
    <m/>
    <x v="0"/>
    <n v="-14"/>
    <s v="LIQUIDADO"/>
    <m/>
    <m/>
    <m/>
    <m/>
    <s v="comissaria"/>
  </r>
  <r>
    <s v="LABOR"/>
    <d v="2026-01-05T00:00:00"/>
    <s v="NF"/>
    <n v="4260"/>
    <s v="001"/>
    <s v="JULIO CESAR F SOUSA SERVICOS LTDA"/>
    <s v="46.864.361/0001-87"/>
    <n v="5875"/>
    <x v="78"/>
    <s v="CARTEIRA"/>
    <s v="ALUFORCE"/>
    <d v="2026-01-30T00:00:00"/>
    <x v="1"/>
    <n v="-43"/>
    <m/>
    <m/>
    <m/>
    <m/>
    <s v="FUNDO"/>
    <s v="Recomprado em 30/01/26 bordero 1000846"/>
  </r>
  <r>
    <s v="LABOR"/>
    <d v="2026-01-05T00:00:00"/>
    <s v="NF"/>
    <n v="4260"/>
    <s v="002"/>
    <s v="JULIO CESAR F SOUSA SERVICOS LTDA"/>
    <s v="46.864.361/0001-87"/>
    <n v="5875"/>
    <x v="5"/>
    <s v="CARTEIRA"/>
    <s v="ALUFORCE"/>
    <d v="2026-01-30T00:00:00"/>
    <x v="1"/>
    <n v="-28"/>
    <m/>
    <m/>
    <m/>
    <m/>
    <s v="FUNDO"/>
    <s v="Recomprado em 30/01/26 bordero 1000846"/>
  </r>
  <r>
    <s v="LABOR"/>
    <d v="2026-01-05T00:00:00"/>
    <s v="NF"/>
    <n v="4260"/>
    <s v="003"/>
    <s v="JULIO CESAR F SOUSA SERVICOS LTDA"/>
    <s v="46.864.361/0001-87"/>
    <n v="5875"/>
    <x v="7"/>
    <s v="CARTEIRA"/>
    <s v="ALUFORCE"/>
    <d v="2026-01-30T00:00:00"/>
    <x v="1"/>
    <n v="-13"/>
    <m/>
    <m/>
    <m/>
    <m/>
    <s v="FUNDO"/>
    <s v="Recomprado em 30/01/26 bordero 1000846"/>
  </r>
  <r>
    <s v="LABOR"/>
    <d v="2026-01-05T00:00:00"/>
    <s v="NF"/>
    <n v="4262"/>
    <s v="001"/>
    <s v="EXCEL DISTRIBUICAO DE MATERIAL ELETRICO LTDA"/>
    <s v="07.931.533/0001-36"/>
    <n v="4151.6000000000004"/>
    <x v="1"/>
    <s v="OPERADO"/>
    <s v="FAMA"/>
    <m/>
    <x v="1"/>
    <n v="-10"/>
    <m/>
    <m/>
    <m/>
    <m/>
    <m/>
    <s v="Tentei  ligar não obtive retorno enviado e-mail e solicitado ajuda do vendedor "/>
  </r>
  <r>
    <s v="LABOR"/>
    <d v="2026-01-05T00:00:00"/>
    <s v="NF"/>
    <n v="4291"/>
    <s v="001"/>
    <s v="IM DOS REIS ALUFORCE INDUSTRIA E COMERCIO DE CONDUTORES EL"/>
    <s v="68.192.475/0001-60"/>
    <n v="20000"/>
    <x v="13"/>
    <s v="OPERADO"/>
    <s v="FAMA"/>
    <m/>
    <x v="2"/>
    <n v="0"/>
    <m/>
    <m/>
    <m/>
    <m/>
    <m/>
    <m/>
  </r>
  <r>
    <s v="LABOR"/>
    <d v="2026-01-05T00:00:00"/>
    <s v="NF"/>
    <n v="4259"/>
    <s v="001"/>
    <s v="EXCEL DISTRIBUICAO DE MATERIAL ELETRICO LTDA"/>
    <s v="07.931.533/0001-36"/>
    <n v="36628.76"/>
    <x v="5"/>
    <s v="OPERADO"/>
    <s v="FAMA"/>
    <m/>
    <x v="1"/>
    <n v="-28"/>
    <m/>
    <m/>
    <m/>
    <m/>
    <m/>
    <m/>
  </r>
  <r>
    <s v="LABOR"/>
    <d v="2026-01-05T00:00:00"/>
    <s v="NF"/>
    <n v="4288"/>
    <s v="001"/>
    <s v="M DOS REIS ALUFORCE INDUSTRIA E COMERCIO DE CONDUTORES EL"/>
    <s v="68.192.475/0001-60"/>
    <n v="215551.9"/>
    <x v="36"/>
    <s v="OPERADO"/>
    <s v="FAMA"/>
    <m/>
    <x v="2"/>
    <n v="8"/>
    <m/>
    <m/>
    <m/>
    <m/>
    <m/>
    <m/>
  </r>
  <r>
    <s v="LABOR"/>
    <d v="2026-01-05T00:00:00"/>
    <s v="NF"/>
    <n v="4282"/>
    <s v="001"/>
    <s v="J C CONSTRUCOES LTDA"/>
    <s v="55.236.338/0001-39"/>
    <n v="1746.52"/>
    <x v="22"/>
    <s v="OPERADO"/>
    <s v="VALE RIO CLARO"/>
    <d v="2026-01-07T00:00:00"/>
    <x v="2"/>
    <n v="3"/>
    <m/>
    <m/>
    <m/>
    <m/>
    <m/>
    <m/>
  </r>
  <r>
    <s v="LABOR"/>
    <d v="2026-01-05T00:00:00"/>
    <s v="NF"/>
    <n v="4282"/>
    <s v="002"/>
    <s v="J C CONSTRUCOES LTDA"/>
    <s v="55.236.338/0001-39"/>
    <n v="1341"/>
    <x v="23"/>
    <s v="OPERADO"/>
    <s v="VALE RIO CLARO"/>
    <d v="2026-01-07T00:00:00"/>
    <x v="2"/>
    <n v="10"/>
    <m/>
    <m/>
    <m/>
    <m/>
    <m/>
    <m/>
  </r>
  <r>
    <s v="LABOR"/>
    <d v="2026-01-05T00:00:00"/>
    <s v="NF"/>
    <n v="4282"/>
    <s v="003"/>
    <s v="J C CONSTRUCOES LTDA"/>
    <s v="55.236.338/0001-39"/>
    <n v="1341"/>
    <x v="24"/>
    <s v="OPERADO"/>
    <s v="VALE RIO CLARO"/>
    <d v="2026-01-07T00:00:00"/>
    <x v="2"/>
    <n v="17"/>
    <m/>
    <m/>
    <m/>
    <m/>
    <m/>
    <m/>
  </r>
  <r>
    <s v="LABOR"/>
    <d v="2026-01-05T00:00:00"/>
    <s v="NF"/>
    <n v="4282"/>
    <s v="004"/>
    <s v="J C CONSTRUCOES LTDA"/>
    <s v="55.236.338/0001-39"/>
    <n v="1341"/>
    <x v="25"/>
    <s v="OPERADO"/>
    <s v="VALE RIO CLARO"/>
    <d v="2026-01-07T00:00:00"/>
    <x v="2"/>
    <n v="24"/>
    <m/>
    <m/>
    <m/>
    <m/>
    <m/>
    <m/>
  </r>
  <r>
    <s v="LABOR"/>
    <d v="2026-01-05T00:00:00"/>
    <s v="NF"/>
    <n v="4283"/>
    <s v="001"/>
    <s v="ELETRON COMERCIO DE PECAS E GERADORES LTDA"/>
    <s v="33.015.943/0001-47"/>
    <n v="4540"/>
    <x v="19"/>
    <s v="OPERADO"/>
    <s v="VALE RIO CLARO"/>
    <d v="2026-01-07T00:00:00"/>
    <x v="2"/>
    <n v="5"/>
    <m/>
    <m/>
    <m/>
    <m/>
    <m/>
    <m/>
  </r>
  <r>
    <s v="LABOR"/>
    <d v="2026-01-05T00:00:00"/>
    <s v="NF"/>
    <n v="4283"/>
    <s v="002"/>
    <s v="ELETRON COMERCIO DE PECAS E GERADORES LTDA"/>
    <s v="33.015.943/0001-47"/>
    <n v="4540"/>
    <x v="21"/>
    <s v="OPERADO"/>
    <s v="VALE RIO CLARO"/>
    <d v="2026-01-07T00:00:00"/>
    <x v="2"/>
    <n v="35"/>
    <m/>
    <m/>
    <m/>
    <m/>
    <m/>
    <m/>
  </r>
  <r>
    <s v="LABOR"/>
    <d v="2026-01-05T00:00:00"/>
    <s v="NF"/>
    <n v="4283"/>
    <s v="003"/>
    <s v="ELETRON COMERCIO DE PECAS E GERADORES LTDA"/>
    <s v="33.015.943/0001-47"/>
    <n v="4540"/>
    <x v="79"/>
    <s v="OPERADO"/>
    <s v="VALE RIO CLARO"/>
    <d v="2026-01-07T00:00:00"/>
    <x v="2"/>
    <n v="65"/>
    <m/>
    <m/>
    <m/>
    <m/>
    <m/>
    <m/>
  </r>
  <r>
    <s v="LABOR"/>
    <d v="2026-01-05T00:00:00"/>
    <s v="NF"/>
    <n v="4284"/>
    <s v="001"/>
    <s v="RDM CAMPINAS COMERCIO DE MATERIAIS ELETRICOS LTDA"/>
    <s v="40.919.972/0001-07"/>
    <n v="3060.64"/>
    <x v="16"/>
    <s v="OPERADO"/>
    <s v="VALE RIO CLARO"/>
    <d v="2026-01-07T00:00:00"/>
    <x v="2"/>
    <n v="23"/>
    <m/>
    <m/>
    <m/>
    <m/>
    <m/>
    <m/>
  </r>
  <r>
    <s v="LABOR"/>
    <d v="2026-01-05T00:00:00"/>
    <s v="NF"/>
    <n v="4284"/>
    <s v="002"/>
    <s v="RDM CAMPINAS COMERCIO DE MATERIAIS ELETRICOS LTDA"/>
    <s v="40.919.972/0001-07"/>
    <n v="2350"/>
    <x v="51"/>
    <s v="OPERADO"/>
    <s v="VALE RIO CLARO"/>
    <d v="2026-01-07T00:00:00"/>
    <x v="2"/>
    <n v="30"/>
    <m/>
    <m/>
    <m/>
    <m/>
    <m/>
    <m/>
  </r>
  <r>
    <s v="LABOR"/>
    <d v="2026-01-05T00:00:00"/>
    <s v="NF"/>
    <n v="4284"/>
    <s v="003"/>
    <s v="RDM CAMPINAS COMERCIO DE MATERIAIS ELETRICOS LTDA"/>
    <s v="40.919.972/0001-07"/>
    <n v="2350"/>
    <x v="41"/>
    <s v="OPERADO"/>
    <s v="VALE RIO CLARO"/>
    <d v="2026-01-07T00:00:00"/>
    <x v="2"/>
    <n v="37"/>
    <m/>
    <m/>
    <m/>
    <m/>
    <m/>
    <m/>
  </r>
  <r>
    <s v="LABOR"/>
    <d v="2026-01-05T00:00:00"/>
    <s v="NF"/>
    <n v="4284"/>
    <s v="004"/>
    <s v="RDM CAMPINAS COMERCIO DE MATERIAIS ELETRICOS LTDA"/>
    <s v="40.919.972/0001-07"/>
    <n v="2350"/>
    <x v="59"/>
    <s v="OPERADO"/>
    <s v="VALE RIO CLARO"/>
    <d v="2026-01-07T00:00:00"/>
    <x v="2"/>
    <n v="44"/>
    <m/>
    <m/>
    <m/>
    <m/>
    <m/>
    <m/>
  </r>
  <r>
    <s v="LABOR"/>
    <d v="2026-01-05T00:00:00"/>
    <s v="NF"/>
    <n v="4285"/>
    <s v="001"/>
    <s v="ANGSTROM SERVICOS LTDA"/>
    <s v="23.254.970/0001-19"/>
    <n v="15541.2"/>
    <x v="19"/>
    <s v="OPERADO"/>
    <s v="VALE RIO CLARO"/>
    <d v="2026-01-07T00:00:00"/>
    <x v="2"/>
    <n v="5"/>
    <m/>
    <m/>
    <m/>
    <m/>
    <m/>
    <m/>
  </r>
  <r>
    <s v="LABOR"/>
    <d v="2026-01-05T00:00:00"/>
    <s v="NF"/>
    <n v="4285"/>
    <s v="002"/>
    <s v="ANGSTROM SERVICOS LTDA"/>
    <s v="23.254.970/0001-19"/>
    <n v="13500"/>
    <x v="21"/>
    <s v="OPERADO"/>
    <s v="VALE RIO CLARO"/>
    <d v="2026-01-07T00:00:00"/>
    <x v="2"/>
    <n v="35"/>
    <m/>
    <m/>
    <m/>
    <m/>
    <m/>
    <m/>
  </r>
  <r>
    <s v="LABOR"/>
    <d v="2026-01-05T00:00:00"/>
    <s v="NF"/>
    <n v="4286"/>
    <s v="001"/>
    <s v="ELETRICA BEL MATERIAIS ELETRICOS LTDA"/>
    <s v="58.246.059/0001-44"/>
    <n v="3933.92"/>
    <x v="22"/>
    <s v="OPERADO"/>
    <s v="VALE RIO CLARO"/>
    <d v="2026-01-07T00:00:00"/>
    <x v="2"/>
    <n v="3"/>
    <m/>
    <m/>
    <m/>
    <m/>
    <m/>
    <m/>
  </r>
  <r>
    <s v="LABOR"/>
    <d v="2026-01-05T00:00:00"/>
    <s v="NF"/>
    <n v="4286"/>
    <s v="002"/>
    <s v="ELETRICA BEL MATERIAIS ELETRICOS LTDA"/>
    <s v="58.246.059/0001-44"/>
    <n v="2854.8"/>
    <x v="23"/>
    <s v="OPERADO"/>
    <s v="VALE RIO CLARO"/>
    <d v="2026-01-07T00:00:00"/>
    <x v="2"/>
    <n v="10"/>
    <m/>
    <m/>
    <m/>
    <m/>
    <m/>
    <m/>
  </r>
  <r>
    <s v="LABOR"/>
    <d v="2026-01-05T00:00:00"/>
    <s v="NF"/>
    <n v="4286"/>
    <s v="003"/>
    <s v="ELETRICA BEL MATERIAIS ELETRICOS LTDA"/>
    <s v="58.246.059/0001-44"/>
    <n v="2854.8"/>
    <x v="24"/>
    <s v="OPERADO"/>
    <s v="VALE RIO CLARO"/>
    <d v="2026-01-07T00:00:00"/>
    <x v="2"/>
    <n v="17"/>
    <m/>
    <m/>
    <m/>
    <m/>
    <m/>
    <m/>
  </r>
  <r>
    <s v="LABOR"/>
    <d v="2026-01-05T00:00:00"/>
    <s v="NF"/>
    <n v="4286"/>
    <s v="004"/>
    <s v="ELETRICA BEL MATERIAIS ELETRICOS LTDA"/>
    <s v="58.246.059/0001-44"/>
    <n v="2854.8"/>
    <x v="25"/>
    <s v="OPERADO"/>
    <s v="VALE RIO CLARO"/>
    <d v="2026-01-07T00:00:00"/>
    <x v="2"/>
    <n v="24"/>
    <m/>
    <m/>
    <m/>
    <m/>
    <m/>
    <m/>
  </r>
  <r>
    <s v="LABOR"/>
    <d v="2026-01-05T00:00:00"/>
    <s v="NF"/>
    <n v="4286"/>
    <s v="005"/>
    <s v="ELETRICA BEL MATERIAIS ELETRICOS LTDA"/>
    <s v="58.246.059/0001-44"/>
    <n v="2854.8"/>
    <x v="26"/>
    <s v="OPERADO"/>
    <s v="VALE RIO CLARO"/>
    <d v="2026-01-07T00:00:00"/>
    <x v="2"/>
    <n v="31"/>
    <m/>
    <m/>
    <m/>
    <m/>
    <m/>
    <m/>
  </r>
  <r>
    <s v="LABOR"/>
    <d v="2026-01-14T00:00:00"/>
    <s v="NF"/>
    <n v="4290"/>
    <s v="001"/>
    <s v="CONSORCCIO ALQUES - J.N.R"/>
    <s v="55.060.017/0001-26"/>
    <n v="7766.91"/>
    <x v="69"/>
    <s v="OPERADO"/>
    <s v="FAMA"/>
    <d v="2026-01-15T00:00:00"/>
    <x v="2"/>
    <n v="41"/>
    <m/>
    <m/>
    <m/>
    <m/>
    <m/>
    <m/>
  </r>
  <r>
    <s v="LABOR"/>
    <d v="2026-01-14T00:00:00"/>
    <s v="NF"/>
    <n v="4290"/>
    <s v="002"/>
    <s v="CONSORCCIO ALQUES - J.N.R"/>
    <s v="55.060.017/0001-26"/>
    <n v="7766.91"/>
    <x v="80"/>
    <s v="OPERADO"/>
    <s v="FAMA"/>
    <d v="2026-01-15T00:00:00"/>
    <x v="2"/>
    <n v="71"/>
    <m/>
    <m/>
    <m/>
    <m/>
    <m/>
    <m/>
  </r>
  <r>
    <s v="LABOR"/>
    <d v="2026-01-27T00:00:00"/>
    <s v="NF"/>
    <n v="4293"/>
    <s v="001"/>
    <s v="J V M SANTANA MATERIAL ELETRICO "/>
    <n v="49601346000215"/>
    <n v="2825.19"/>
    <x v="46"/>
    <s v="OPERADO"/>
    <s v="CAPITAL ANNEX"/>
    <d v="2026-01-28T00:00:00"/>
    <x v="2"/>
    <n v="25"/>
    <m/>
    <m/>
    <m/>
    <m/>
    <m/>
    <m/>
  </r>
  <r>
    <s v="LABOR"/>
    <d v="2026-01-27T00:00:00"/>
    <s v="NF"/>
    <n v="4293"/>
    <s v="002"/>
    <s v="J V M SANTANA MATERIAL ELETRICO "/>
    <n v="49601346000215"/>
    <n v="2825.19"/>
    <x v="43"/>
    <s v="OPERADO"/>
    <s v="CAPITAL ANNEX"/>
    <d v="2026-01-28T00:00:00"/>
    <x v="2"/>
    <n v="40"/>
    <m/>
    <m/>
    <m/>
    <m/>
    <m/>
    <m/>
  </r>
  <r>
    <s v="LABOR"/>
    <d v="2026-01-27T00:00:00"/>
    <s v="NF"/>
    <n v="4293"/>
    <s v="003"/>
    <s v="J V M SANTANA MATERIAL ELETRICO "/>
    <n v="49601346000215"/>
    <n v="2825.19"/>
    <x v="81"/>
    <s v="OPERADO"/>
    <s v="CAPITAL ANNEX"/>
    <d v="2026-01-28T00:00:00"/>
    <x v="2"/>
    <n v="55"/>
    <m/>
    <m/>
    <m/>
    <m/>
    <m/>
    <m/>
  </r>
  <r>
    <s v="LABOR"/>
    <d v="2026-01-28T00:00:00"/>
    <s v="NF"/>
    <n v="4294"/>
    <s v="001"/>
    <s v="EDL INSTALACOES E CONSTRUCOES LTDA "/>
    <n v="38486966000153"/>
    <n v="24975"/>
    <x v="43"/>
    <s v="OPERADO"/>
    <s v="FAMA"/>
    <d v="2026-01-30T00:00:00"/>
    <x v="2"/>
    <n v="40"/>
    <m/>
    <m/>
    <m/>
    <m/>
    <m/>
    <m/>
  </r>
  <r>
    <s v="LABOR"/>
    <d v="2026-01-28T00:00:00"/>
    <s v="NF"/>
    <n v="4294"/>
    <s v="002"/>
    <s v="EDL INSTALACOES E CONSTRUCOES LTDA "/>
    <n v="38486966000153"/>
    <n v="24975"/>
    <x v="82"/>
    <s v="OPERADO"/>
    <s v="FAMA"/>
    <d v="2026-01-30T00:00:00"/>
    <x v="2"/>
    <n v="7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6:G14" firstHeaderRow="1" firstDataRow="2" firstDataCol="1"/>
  <pivotFields count="22">
    <pivotField showAll="0"/>
    <pivotField numFmtId="14" showAll="0"/>
    <pivotField showAll="0"/>
    <pivotField showAll="0"/>
    <pivotField showAll="0"/>
    <pivotField showAll="0"/>
    <pivotField showAll="0"/>
    <pivotField dataField="1" numFmtId="43" showAll="0"/>
    <pivotField axis="axisRow" numFmtId="14" showAll="0">
      <items count="84">
        <item x="5"/>
        <item x="11"/>
        <item x="44"/>
        <item x="2"/>
        <item x="12"/>
        <item x="7"/>
        <item x="10"/>
        <item x="0"/>
        <item x="6"/>
        <item x="27"/>
        <item x="13"/>
        <item x="22"/>
        <item x="28"/>
        <item x="19"/>
        <item x="32"/>
        <item x="34"/>
        <item x="36"/>
        <item x="14"/>
        <item x="23"/>
        <item x="29"/>
        <item x="17"/>
        <item x="37"/>
        <item x="15"/>
        <item x="24"/>
        <item x="30"/>
        <item x="20"/>
        <item x="35"/>
        <item x="38"/>
        <item x="16"/>
        <item x="25"/>
        <item x="46"/>
        <item x="50"/>
        <item x="52"/>
        <item x="51"/>
        <item x="26"/>
        <item x="47"/>
        <item x="21"/>
        <item x="33"/>
        <item x="41"/>
        <item x="39"/>
        <item x="48"/>
        <item x="43"/>
        <item x="69"/>
        <item x="55"/>
        <item x="59"/>
        <item x="40"/>
        <item x="49"/>
        <item x="56"/>
        <item x="42"/>
        <item x="45"/>
        <item x="53"/>
        <item x="79"/>
        <item x="80"/>
        <item x="54"/>
        <item x="1"/>
        <item x="3"/>
        <item x="4"/>
        <item x="8"/>
        <item x="9"/>
        <item x="18"/>
        <item x="31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1"/>
        <item x="82"/>
        <item t="default"/>
      </items>
    </pivotField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numFmtId="171"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1"/>
    <field x="20"/>
    <field x="8"/>
  </rowFields>
  <rowItems count="7">
    <i>
      <x v="1"/>
    </i>
    <i>
      <x v="2"/>
    </i>
    <i>
      <x v="3"/>
    </i>
    <i>
      <x v="4"/>
    </i>
    <i>
      <x v="5"/>
    </i>
    <i>
      <x v="12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oma de VALOR P" fld="7" baseField="0" baseItem="0" numFmtId="43"/>
  </dataFields>
  <formats count="20">
    <format dxfId="148">
      <pivotArea type="all" dataOnly="0" outline="0" fieldPosition="0"/>
    </format>
    <format dxfId="147">
      <pivotArea outline="0" collapsedLevelsAreSubtotals="1" fieldPosition="0"/>
    </format>
    <format dxfId="146">
      <pivotArea type="origin" dataOnly="0" labelOnly="1" outline="0" fieldPosition="0"/>
    </format>
    <format dxfId="145">
      <pivotArea field="12" type="button" dataOnly="0" labelOnly="1" outline="0" axis="axisCol" fieldPosition="0"/>
    </format>
    <format dxfId="144">
      <pivotArea type="topRight" dataOnly="0" labelOnly="1" outline="0" fieldPosition="0"/>
    </format>
    <format dxfId="143">
      <pivotArea field="21" type="button" dataOnly="0" labelOnly="1" outline="0" axis="axisRow" fieldPosition="0"/>
    </format>
    <format dxfId="142">
      <pivotArea dataOnly="0" labelOnly="1" fieldPosition="0">
        <references count="1">
          <reference field="21" count="4">
            <x v="1"/>
            <x v="2"/>
            <x v="3"/>
            <x v="4"/>
          </reference>
        </references>
      </pivotArea>
    </format>
    <format dxfId="141">
      <pivotArea dataOnly="0" labelOnly="1" grandRow="1" outline="0" fieldPosition="0"/>
    </format>
    <format dxfId="140">
      <pivotArea dataOnly="0" labelOnly="1" fieldPosition="0">
        <references count="1">
          <reference field="12" count="0"/>
        </references>
      </pivotArea>
    </format>
    <format dxfId="139">
      <pivotArea dataOnly="0" labelOnly="1" grandCol="1" outline="0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type="origin" dataOnly="0" labelOnly="1" outline="0" fieldPosition="0"/>
    </format>
    <format dxfId="135">
      <pivotArea field="12" type="button" dataOnly="0" labelOnly="1" outline="0" axis="axisCol" fieldPosition="0"/>
    </format>
    <format dxfId="134">
      <pivotArea type="topRight" dataOnly="0" labelOnly="1" outline="0" fieldPosition="0"/>
    </format>
    <format dxfId="133">
      <pivotArea field="21" type="button" dataOnly="0" labelOnly="1" outline="0" axis="axisRow" fieldPosition="0"/>
    </format>
    <format dxfId="132">
      <pivotArea dataOnly="0" labelOnly="1" fieldPosition="0">
        <references count="1">
          <reference field="21" count="4">
            <x v="1"/>
            <x v="2"/>
            <x v="3"/>
            <x v="4"/>
          </reference>
        </references>
      </pivotArea>
    </format>
    <format dxfId="131">
      <pivotArea dataOnly="0" labelOnly="1" grandRow="1" outline="0" fieldPosition="0"/>
    </format>
    <format dxfId="130">
      <pivotArea dataOnly="0" labelOnly="1" fieldPosition="0">
        <references count="1">
          <reference field="12" count="0"/>
        </references>
      </pivotArea>
    </format>
    <format dxfId="1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F14" totalsRowShown="0" headerRowDxfId="179" dataDxfId="177" headerRowBorderDxfId="178" tableBorderDxfId="176" totalsRowBorderDxfId="175">
  <sortState xmlns:xlrd2="http://schemas.microsoft.com/office/spreadsheetml/2017/richdata2" ref="A2:C14">
    <sortCondition ref="A2:A14"/>
  </sortState>
  <tableColumns count="6">
    <tableColumn id="1" xr3:uid="{00000000-0010-0000-0000-000001000000}" name="PORTADOR" dataDxfId="174"/>
    <tableColumn id="2" xr3:uid="{00000000-0010-0000-0000-000002000000}" name="STATUS" dataDxfId="173"/>
    <tableColumn id="3" xr3:uid="{00000000-0010-0000-0000-000003000000}" name="SITUAÇÃO" dataDxfId="172"/>
    <tableColumn id="5" xr3:uid="{00000000-0010-0000-0000-000005000000}" name="POSIÇÃO" dataDxfId="171"/>
    <tableColumn id="4" xr3:uid="{00000000-0010-0000-0000-000004000000}" name="RECOMPRADO" dataDxfId="170"/>
    <tableColumn id="6" xr3:uid="{00000000-0010-0000-0000-000006000000}" name="CARTÓRIO" dataDxfId="16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4" displayName="Tabela4" ref="A7:V970" totalsRowShown="0" dataDxfId="200" tableBorderDxfId="199">
  <autoFilter ref="A7:V970" xr:uid="{00000000-000C-0000-FFFF-FFFF01000000}"/>
  <tableColumns count="22">
    <tableColumn id="1" xr3:uid="{00000000-0010-0000-0100-000001000000}" name="EMPRESA" dataDxfId="198"/>
    <tableColumn id="2" xr3:uid="{00000000-0010-0000-0100-000002000000}" name="EMISSÃO" dataDxfId="197"/>
    <tableColumn id="3" xr3:uid="{00000000-0010-0000-0100-000003000000}" name="TIPO" dataDxfId="196"/>
    <tableColumn id="4" xr3:uid="{00000000-0010-0000-0100-000004000000}" name="NFe" dataDxfId="195"/>
    <tableColumn id="5" xr3:uid="{00000000-0010-0000-0100-000005000000}" name="P" dataDxfId="194"/>
    <tableColumn id="6" xr3:uid="{00000000-0010-0000-0100-000006000000}" name="CLIENTE" dataDxfId="193"/>
    <tableColumn id="7" xr3:uid="{00000000-0010-0000-0100-000007000000}" name="CNPJ" dataDxfId="128"/>
    <tableColumn id="9" xr3:uid="{00000000-0010-0000-0100-000009000000}" name="VALOR P" dataDxfId="192" dataCellStyle="Vírgula"/>
    <tableColumn id="10" xr3:uid="{00000000-0010-0000-0100-00000A000000}" name="VCTO" dataDxfId="191" dataCellStyle="Vírgula"/>
    <tableColumn id="11" xr3:uid="{00000000-0010-0000-0100-00000B000000}" name="SITUAÇÃO" dataDxfId="190" dataCellStyle="Vírgula"/>
    <tableColumn id="12" xr3:uid="{00000000-0010-0000-0100-00000C000000}" name="PORTADOR" dataDxfId="189"/>
    <tableColumn id="13" xr3:uid="{00000000-0010-0000-0100-00000D000000}" name="DATA" dataDxfId="188"/>
    <tableColumn id="14" xr3:uid="{00000000-0010-0000-0100-00000E000000}" name="STATUS" dataDxfId="187">
      <calculatedColumnFormula>IF(Tabela4[[#This Row],[RECOMPRADO]]="RECEBIDO","LIQUIDADO",IF(O8="LIQUIDADO","LIQUIDADO",IF(I8&lt;$I$5,"VENCIDO","A VENCER")))</calculatedColumnFormula>
    </tableColumn>
    <tableColumn id="8" xr3:uid="{00000000-0010-0000-0100-000008000000}" name="DIAS" dataDxfId="186" dataCellStyle="Vírgula">
      <calculatedColumnFormula>IF(Tabela4[[#This Row],[STATUS]]="LIQUIDADO","",Tabela4[[#This Row],[VCTO]]-$I$5)</calculatedColumnFormula>
    </tableColumn>
    <tableColumn id="15" xr3:uid="{00000000-0010-0000-0100-00000F000000}" name="POSIÇÃO" dataDxfId="185"/>
    <tableColumn id="19" xr3:uid="{00000000-0010-0000-0100-000013000000}" name="DATA2" dataDxfId="184"/>
    <tableColumn id="16" xr3:uid="{00000000-0010-0000-0100-000010000000}" name="RECOMPRADO" dataDxfId="183"/>
    <tableColumn id="20" xr3:uid="{00000000-0010-0000-0100-000014000000}" name="DATA3" dataDxfId="182"/>
    <tableColumn id="18" xr3:uid="{00000000-0010-0000-0100-000012000000}" name="CARTORIO" dataDxfId="181"/>
    <tableColumn id="17" xr3:uid="{00000000-0010-0000-0100-000011000000}" name="OBSERVAÇÃO" dataDxfId="180"/>
    <tableColumn id="35" xr3:uid="{B07371C3-A968-4925-8172-6EAF654DAF8E}" name="ACEITA TROCA  FACTORY" dataDxfId="0"/>
    <tableColumn id="34" xr3:uid="{5D715944-CF36-4E5C-8198-2C8B1F01BC4E}" name="COMISSÁRIA" dataDxfId="127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46" displayName="Tabela46" ref="A12:E90" totalsRowShown="0" headerRowDxfId="168" dataDxfId="167" headerRowCellStyle="Normal 2">
  <tableColumns count="5">
    <tableColumn id="1" xr3:uid="{00000000-0010-0000-0200-000001000000}" name="DT VENCIMENTO" dataDxfId="166" dataCellStyle="Normal 2"/>
    <tableColumn id="2" xr3:uid="{00000000-0010-0000-0200-000002000000}" name="VALOR" dataDxfId="165" dataCellStyle="Vírgula"/>
    <tableColumn id="3" xr3:uid="{00000000-0010-0000-0200-000003000000}" name="PRAZO NOMINAL" dataDxfId="164" dataCellStyle="Vírgula">
      <calculatedColumnFormula>IF(A13="","",A13-$B$7)</calculatedColumnFormula>
    </tableColumn>
    <tableColumn id="4" xr3:uid="{00000000-0010-0000-0200-000004000000}" name="PRAZO D+X" dataDxfId="163" dataCellStyle="Normal 2">
      <calculatedColumnFormula>IF(A13="","",IF($B$7="","",IF(OR(WEEKDAY(A13)=5,WEEKDAY(A13)=6,WEEKDAY(A13)=7),A13-$B$7+$E$7+2,IF(WEEKDAY(A13)=1,A13-$B$7+$E$7+1,A13-$B$7+$E$7))))</calculatedColumnFormula>
    </tableColumn>
    <tableColumn id="5" xr3:uid="{00000000-0010-0000-0200-000005000000}" name="PR X VALOR" dataDxfId="162" dataCellStyle="Vírgula 2">
      <calculatedColumnFormula>IF(D13="","",IF(B13="","",IF(A13="","",IF($B$7="","",(D13*B13)))))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ela3" displayName="Tabela3" ref="K12:U89" totalsRowShown="0" headerRowDxfId="161" dataDxfId="160" headerRowCellStyle="Normal 2" dataCellStyle="Normal 2">
  <autoFilter ref="K12:U89" xr:uid="{00000000-0009-0000-0100-000006000000}"/>
  <tableColumns count="11">
    <tableColumn id="1" xr3:uid="{00000000-0010-0000-0300-000001000000}" name="CÓDIGO" dataDxfId="159" dataCellStyle="Normal 2">
      <calculatedColumnFormula>IFERROR(CONCATENATE(Tabela3[[#This Row],[INSTITUICAO]]," ",Tabela3[[#This Row],[TIPO OPERACAO]]," ",Tabela3[[#This Row],[TIPO INSTITUICAO]])," ")</calculatedColumnFormula>
    </tableColumn>
    <tableColumn id="2" xr3:uid="{00000000-0010-0000-0300-000002000000}" name="INSTITUICAO" dataDxfId="158" dataCellStyle="Normal 2"/>
    <tableColumn id="3" xr3:uid="{00000000-0010-0000-0300-000003000000}" name="TIPO OPERACAO" dataDxfId="157" dataCellStyle="Normal 2"/>
    <tableColumn id="4" xr3:uid="{00000000-0010-0000-0300-000004000000}" name="TIPO INSTITUICAO" dataDxfId="156" dataCellStyle="Normal 2"/>
    <tableColumn id="5" xr3:uid="{00000000-0010-0000-0300-000005000000}" name="TAXA ACORDADA" dataDxfId="155" dataCellStyle="Porcentagem"/>
    <tableColumn id="6" xr3:uid="{00000000-0010-0000-0300-000006000000}" name="TAR DE COB" dataDxfId="154" dataCellStyle="Normal 2"/>
    <tableColumn id="7" xr3:uid="{00000000-0010-0000-0300-000007000000}" name="REEMB TED / TRANSF" dataDxfId="153" dataCellStyle="Normal 2"/>
    <tableColumn id="8" xr3:uid="{00000000-0010-0000-0300-000008000000}" name="ANALISE E CONTRATO" dataDxfId="152" dataCellStyle="Normal 2"/>
    <tableColumn id="9" xr3:uid="{00000000-0010-0000-0300-000009000000}" name="REEMB ASSINAT DIG" dataDxfId="151" dataCellStyle="Normal 2"/>
    <tableColumn id="10" xr3:uid="{00000000-0010-0000-0300-00000A000000}" name="REEMB SERASA" dataDxfId="150" dataCellStyle="Normal 2"/>
    <tableColumn id="11" xr3:uid="{00000000-0010-0000-0300-00000B000000}" name="TAC" dataDxfId="149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pane ySplit="1" topLeftCell="A2" activePane="bottomLeft" state="frozen"/>
      <selection pane="bottomLeft" activeCell="C9" sqref="C9"/>
    </sheetView>
  </sheetViews>
  <sheetFormatPr defaultColWidth="9.140625" defaultRowHeight="13.5"/>
  <cols>
    <col min="1" max="3" width="15.7109375" style="2" customWidth="1"/>
    <col min="4" max="4" width="18" style="2" bestFit="1" customWidth="1"/>
    <col min="5" max="5" width="15.7109375" style="2" customWidth="1"/>
    <col min="6" max="6" width="17.85546875" style="2" bestFit="1" customWidth="1"/>
    <col min="7" max="16384" width="9.140625" style="2"/>
  </cols>
  <sheetData>
    <row r="1" spans="1:6">
      <c r="A1" s="3" t="s">
        <v>44</v>
      </c>
      <c r="B1" s="3" t="s">
        <v>83</v>
      </c>
      <c r="C1" s="3" t="s">
        <v>89</v>
      </c>
      <c r="D1" s="3" t="s">
        <v>102</v>
      </c>
      <c r="E1" s="27" t="s">
        <v>87</v>
      </c>
      <c r="F1" s="3" t="s">
        <v>150</v>
      </c>
    </row>
    <row r="2" spans="1:6">
      <c r="A2" s="4" t="s">
        <v>0</v>
      </c>
      <c r="B2" s="9" t="s">
        <v>85</v>
      </c>
      <c r="C2" s="4" t="s">
        <v>125</v>
      </c>
      <c r="D2" s="9" t="s">
        <v>86</v>
      </c>
      <c r="E2" s="9" t="s">
        <v>133</v>
      </c>
      <c r="F2" s="9" t="s">
        <v>151</v>
      </c>
    </row>
    <row r="3" spans="1:6">
      <c r="A3" s="4" t="s">
        <v>72</v>
      </c>
      <c r="B3" s="4" t="s">
        <v>84</v>
      </c>
      <c r="C3" s="4" t="s">
        <v>90</v>
      </c>
      <c r="D3" s="4" t="s">
        <v>87</v>
      </c>
      <c r="E3" s="4" t="s">
        <v>134</v>
      </c>
      <c r="F3" s="4" t="s">
        <v>0</v>
      </c>
    </row>
    <row r="4" spans="1:6">
      <c r="A4" s="4" t="s">
        <v>73</v>
      </c>
      <c r="B4" s="4"/>
      <c r="C4" s="9" t="s">
        <v>82</v>
      </c>
      <c r="D4" s="4"/>
      <c r="E4" s="4"/>
      <c r="F4" s="4"/>
    </row>
    <row r="5" spans="1:6">
      <c r="A5" s="4" t="s">
        <v>74</v>
      </c>
      <c r="B5" s="4"/>
      <c r="C5" s="4" t="s">
        <v>91</v>
      </c>
      <c r="D5" s="4"/>
      <c r="E5" s="4"/>
      <c r="F5" s="4"/>
    </row>
    <row r="6" spans="1:6">
      <c r="A6" s="4" t="s">
        <v>75</v>
      </c>
      <c r="B6" s="4"/>
      <c r="C6" s="4"/>
      <c r="D6" s="4"/>
      <c r="E6" s="4"/>
      <c r="F6" s="4"/>
    </row>
    <row r="7" spans="1:6">
      <c r="A7" s="4" t="s">
        <v>76</v>
      </c>
      <c r="B7" s="4"/>
      <c r="C7" s="4"/>
      <c r="D7" s="4"/>
      <c r="E7" s="4"/>
      <c r="F7" s="4"/>
    </row>
    <row r="8" spans="1:6">
      <c r="A8" s="4" t="s">
        <v>77</v>
      </c>
      <c r="B8" s="4"/>
      <c r="C8" s="4"/>
      <c r="D8" s="4"/>
      <c r="E8" s="4"/>
      <c r="F8" s="4"/>
    </row>
    <row r="9" spans="1:6">
      <c r="A9" s="4" t="s">
        <v>381</v>
      </c>
      <c r="B9" s="4"/>
      <c r="C9" s="4"/>
      <c r="D9" s="4"/>
      <c r="E9" s="4"/>
      <c r="F9" s="4"/>
    </row>
    <row r="10" spans="1:6">
      <c r="A10" s="4" t="s">
        <v>78</v>
      </c>
      <c r="B10" s="4"/>
      <c r="C10" s="4"/>
      <c r="D10" s="4"/>
      <c r="E10" s="4"/>
      <c r="F10" s="4"/>
    </row>
    <row r="11" spans="1:6">
      <c r="A11" s="4" t="s">
        <v>79</v>
      </c>
      <c r="B11" s="4"/>
      <c r="C11" s="4"/>
      <c r="D11" s="4"/>
      <c r="E11" s="4"/>
      <c r="F11" s="4"/>
    </row>
    <row r="12" spans="1:6">
      <c r="A12" s="4" t="s">
        <v>80</v>
      </c>
      <c r="B12" s="4"/>
      <c r="C12" s="4"/>
      <c r="D12" s="4"/>
      <c r="E12" s="4"/>
      <c r="F12" s="4"/>
    </row>
    <row r="13" spans="1:6">
      <c r="A13" s="4" t="s">
        <v>81</v>
      </c>
      <c r="B13" s="4"/>
      <c r="C13" s="4"/>
      <c r="D13" s="4"/>
      <c r="E13" s="4"/>
      <c r="F13" s="4"/>
    </row>
    <row r="14" spans="1:6">
      <c r="A14" s="4"/>
      <c r="B14" s="4"/>
      <c r="C14" s="4"/>
      <c r="D14" s="12"/>
      <c r="E14" s="12"/>
      <c r="F14" s="1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S22"/>
  <sheetViews>
    <sheetView showGridLines="0" zoomScaleNormal="100" workbookViewId="0">
      <pane ySplit="3" topLeftCell="A4" activePane="bottomLeft" state="frozen"/>
      <selection pane="bottomLeft" activeCell="C22" sqref="C22"/>
    </sheetView>
  </sheetViews>
  <sheetFormatPr defaultColWidth="9.140625" defaultRowHeight="12.75"/>
  <cols>
    <col min="1" max="1" width="9.7109375" style="43" customWidth="1"/>
    <col min="2" max="5" width="15.7109375" style="43" customWidth="1"/>
    <col min="6" max="6" width="5.7109375" style="43" customWidth="1"/>
    <col min="7" max="7" width="20.7109375" style="43" customWidth="1"/>
    <col min="8" max="10" width="15.7109375" style="43" customWidth="1"/>
    <col min="11" max="11" width="0.85546875" style="42" customWidth="1"/>
    <col min="12" max="12" width="15.7109375" style="43" customWidth="1"/>
    <col min="13" max="13" width="5.7109375" style="43" customWidth="1"/>
    <col min="14" max="16" width="15.7109375" style="43" customWidth="1"/>
    <col min="17" max="17" width="1.7109375" style="43" customWidth="1"/>
    <col min="18" max="19" width="20.7109375" style="43" customWidth="1"/>
    <col min="20" max="16384" width="9.140625" style="43"/>
  </cols>
  <sheetData>
    <row r="1" spans="2:19">
      <c r="B1" s="328" t="s">
        <v>106</v>
      </c>
      <c r="C1" s="328"/>
      <c r="D1" s="328"/>
      <c r="E1" s="328"/>
      <c r="F1" s="41"/>
      <c r="G1" s="41"/>
      <c r="H1" s="41"/>
      <c r="I1" s="41"/>
      <c r="J1" s="41"/>
      <c r="L1" s="41"/>
      <c r="M1" s="41"/>
    </row>
    <row r="2" spans="2:19" ht="13.5" thickBot="1">
      <c r="B2" s="44"/>
      <c r="C2" s="44"/>
      <c r="D2" s="44"/>
      <c r="E2" s="44"/>
      <c r="R2" s="334" t="s">
        <v>149</v>
      </c>
      <c r="S2" s="334"/>
    </row>
    <row r="3" spans="2:19" ht="13.5" thickBot="1">
      <c r="B3" s="329" t="s">
        <v>105</v>
      </c>
      <c r="C3" s="329"/>
      <c r="D3" s="46"/>
      <c r="E3" s="46" t="e">
        <f ca="1">E11+J19+J21+J22+L19+N19</f>
        <v>#VALUE!</v>
      </c>
      <c r="G3" s="47" t="s">
        <v>104</v>
      </c>
      <c r="H3" s="48" t="s">
        <v>85</v>
      </c>
      <c r="I3" s="49" t="s">
        <v>84</v>
      </c>
      <c r="J3" s="50" t="s">
        <v>103</v>
      </c>
      <c r="L3" s="49" t="s">
        <v>86</v>
      </c>
      <c r="N3" s="47" t="s">
        <v>87</v>
      </c>
      <c r="O3" s="51" t="s">
        <v>133</v>
      </c>
      <c r="P3" s="52" t="s">
        <v>134</v>
      </c>
      <c r="R3" s="45" t="s">
        <v>151</v>
      </c>
      <c r="S3" s="45" t="s">
        <v>0</v>
      </c>
    </row>
    <row r="4" spans="2:19">
      <c r="B4" s="330" t="s">
        <v>107</v>
      </c>
      <c r="C4" s="330"/>
      <c r="D4" s="53"/>
      <c r="E4" s="53" t="e">
        <f ca="1">FATURAMENTO!H5-RESUMO!E3</f>
        <v>#VALUE!</v>
      </c>
      <c r="G4" s="54" t="s">
        <v>72</v>
      </c>
      <c r="H4" s="55">
        <f ca="1">SUMIFS(FATURAMENTO!$H$8:$H$1048576,FATURAMENTO!$M$8:$M$1048576,RESUMO!$H$3,FATURAMENTO!$K$8:$K$1048576,RESUMO!G4)</f>
        <v>150514.04</v>
      </c>
      <c r="I4" s="56">
        <f ca="1">SUMIFS(FATURAMENTO!$H$8:$H$1048576,FATURAMENTO!$M$8:$M$1048576,$I$3,FATURAMENTO!$K$8:$K$1048576,G4)</f>
        <v>0</v>
      </c>
      <c r="J4" s="57">
        <f ca="1">H4+I4-N4</f>
        <v>150514.04</v>
      </c>
      <c r="L4" s="58">
        <f ca="1">SUMIFS(FATURAMENTO!$H$8:$H$1048576,FATURAMENTO!$M$8:$M$1048576,$L$3,FATURAMENTO!$K$8:$K$1048576,G4)</f>
        <v>67217.11</v>
      </c>
      <c r="N4" s="55">
        <f>SUMIFS(FATURAMENTO!$H$8:$H$1048576,FATURAMENTO!$K$8:$K$1048576,RESUMO!$G4,FATURAMENTO!$O$8:$O$1048576,RESUMO!$N$3)</f>
        <v>0</v>
      </c>
      <c r="O4" s="55">
        <f>SUMIFS(FATURAMENTO!$H$8:$H$1048576,FATURAMENTO!$K$8:$K$1048576,RESUMO!$G4,FATURAMENTO!$Q$8:$Q$1048576,RESUMO!$O$3)</f>
        <v>0</v>
      </c>
      <c r="P4" s="55">
        <f>SUMIFS(FATURAMENTO!$H$8:$H$1048576,FATURAMENTO!$K$8:$K$1048576,RESUMO!$G4,FATURAMENTO!$Q$8:$Q$1048576,$P$3)</f>
        <v>0</v>
      </c>
      <c r="R4" s="55">
        <f>SUMIFS(FATURAMENTO!$H$8:$H$1048576,FATURAMENTO!$K$8:$K$1048576,RESUMO!$G4,FATURAMENTO!$S$8:$S$1048576,RESUMO!$R$3)</f>
        <v>0</v>
      </c>
      <c r="S4" s="55">
        <f>SUMIFS(FATURAMENTO!$H$8:$H$1048576,FATURAMENTO!$K$8:$K$1048576,RESUMO!$G4,FATURAMENTO!$S$8:$S$1048576,$S$3)</f>
        <v>0</v>
      </c>
    </row>
    <row r="5" spans="2:19" ht="13.5" thickBot="1">
      <c r="G5" s="59" t="s">
        <v>73</v>
      </c>
      <c r="H5" s="60">
        <f ca="1">SUMIFS(FATURAMENTO!$H$8:$H$1048576,FATURAMENTO!$M$8:$M$1048576,RESUMO!$H$3,FATURAMENTO!$K$8:$K$1048576,RESUMO!G5)</f>
        <v>414150.34</v>
      </c>
      <c r="I5" s="61">
        <f ca="1">SUMIFS(FATURAMENTO!$H$8:$H$1048576,FATURAMENTO!$M$8:$M$1048576,$I$3,FATURAMENTO!$K$8:$K$1048576,G5)</f>
        <v>4381.8600000000006</v>
      </c>
      <c r="J5" s="62">
        <f t="shared" ref="J5:J13" ca="1" si="0">H5+I5-N5</f>
        <v>418532.2</v>
      </c>
      <c r="L5" s="63">
        <f ca="1">SUMIFS(FATURAMENTO!$H$8:$H$1048576,FATURAMENTO!$M$8:$M$1048576,$L$3,FATURAMENTO!$K$8:$K$1048576,G5)</f>
        <v>247856.97999999998</v>
      </c>
      <c r="N5" s="60">
        <f>SUMIFS(FATURAMENTO!$H$8:$H$1048576,FATURAMENTO!$K$8:$K$1048576,RESUMO!$G5,FATURAMENTO!$O$8:$O$1048576,RESUMO!$N$3)</f>
        <v>0</v>
      </c>
      <c r="O5" s="60">
        <f>SUMIFS(FATURAMENTO!$H$8:$H$1048576,FATURAMENTO!$K$8:$K$1048576,RESUMO!$G5,FATURAMENTO!$Q$8:$Q$1048576,RESUMO!$O$3)</f>
        <v>0</v>
      </c>
      <c r="P5" s="60">
        <f>SUMIFS(FATURAMENTO!$H$8:$H$1048576,FATURAMENTO!$K$8:$K$1048576,RESUMO!$G5,FATURAMENTO!$Q$8:$Q$1048576,$P$3)</f>
        <v>0</v>
      </c>
      <c r="R5" s="60">
        <f>SUMIFS(FATURAMENTO!$H$8:$H$1048576,FATURAMENTO!$K$8:$K$1048576,RESUMO!$G5,FATURAMENTO!$S$8:$S$1048576,RESUMO!$R$3)</f>
        <v>0</v>
      </c>
      <c r="S5" s="60">
        <f>SUMIFS(FATURAMENTO!$H$8:$H$1048576,FATURAMENTO!$K$8:$K$1048576,RESUMO!$G5,FATURAMENTO!$S$8:$S$1048576,$S$3)</f>
        <v>0</v>
      </c>
    </row>
    <row r="6" spans="2:19" ht="13.5" thickBot="1">
      <c r="B6" s="331" t="s">
        <v>82</v>
      </c>
      <c r="C6" s="332"/>
      <c r="D6" s="332"/>
      <c r="E6" s="333"/>
      <c r="G6" s="64" t="s">
        <v>74</v>
      </c>
      <c r="H6" s="65">
        <f ca="1">SUMIFS(FATURAMENTO!$H$8:$H$1048576,FATURAMENTO!$M$8:$M$1048576,RESUMO!$H$3,FATURAMENTO!$K$8:$K$1048576,RESUMO!G6)</f>
        <v>0</v>
      </c>
      <c r="I6" s="66">
        <f ca="1">SUMIFS(FATURAMENTO!$H$8:$H$1048576,FATURAMENTO!$M$8:$M$1048576,$I$3,FATURAMENTO!$K$8:$K$1048576,G6)</f>
        <v>0</v>
      </c>
      <c r="J6" s="67">
        <f t="shared" ca="1" si="0"/>
        <v>0</v>
      </c>
      <c r="L6" s="68">
        <f ca="1">SUMIFS(FATURAMENTO!$H$8:$H$1048576,FATURAMENTO!$M$8:$M$1048576,$L$3,FATURAMENTO!$K$8:$K$1048576,G6)</f>
        <v>0</v>
      </c>
      <c r="N6" s="65">
        <f>SUMIFS(FATURAMENTO!$H$8:$H$1048576,FATURAMENTO!$K$8:$K$1048576,RESUMO!$G6,FATURAMENTO!$O$8:$O$1048576,RESUMO!$N$3)</f>
        <v>0</v>
      </c>
      <c r="O6" s="65">
        <f>SUMIFS(FATURAMENTO!$H$8:$H$1048576,FATURAMENTO!$K$8:$K$1048576,RESUMO!$G6,FATURAMENTO!$Q$8:$Q$1048576,RESUMO!$O$3)</f>
        <v>0</v>
      </c>
      <c r="P6" s="65">
        <f>SUMIFS(FATURAMENTO!$H$8:$H$1048576,FATURAMENTO!$K$8:$K$1048576,RESUMO!$G6,FATURAMENTO!$Q$8:$Q$1048576,$P$3)</f>
        <v>0</v>
      </c>
      <c r="R6" s="65">
        <f>SUMIFS(FATURAMENTO!$H$8:$H$1048576,FATURAMENTO!$K$8:$K$1048576,RESUMO!$G6,FATURAMENTO!$S$8:$S$1048576,RESUMO!$R$3)</f>
        <v>0</v>
      </c>
      <c r="S6" s="65">
        <f>SUMIFS(FATURAMENTO!$H$8:$H$1048576,FATURAMENTO!$K$8:$K$1048576,RESUMO!$G6,FATURAMENTO!$S$8:$S$1048576,$S$3)</f>
        <v>0</v>
      </c>
    </row>
    <row r="7" spans="2:19" ht="13.5" thickBot="1">
      <c r="B7" s="69" t="s">
        <v>40</v>
      </c>
      <c r="C7" s="70" t="s">
        <v>41</v>
      </c>
      <c r="D7" s="70" t="s">
        <v>43</v>
      </c>
      <c r="E7" s="71" t="s">
        <v>103</v>
      </c>
      <c r="G7" s="59" t="s">
        <v>75</v>
      </c>
      <c r="H7" s="60">
        <f ca="1">SUMIFS(FATURAMENTO!$H$8:$H$1048576,FATURAMENTO!$M$8:$M$1048576,RESUMO!$H$3,FATURAMENTO!$K$8:$K$1048576,RESUMO!G7)</f>
        <v>4364.1000000000004</v>
      </c>
      <c r="I7" s="61">
        <f ca="1">SUMIFS(FATURAMENTO!$H$8:$H$1048576,FATURAMENTO!$M$8:$M$1048576,$I$3,FATURAMENTO!$K$8:$K$1048576,G7)</f>
        <v>27611</v>
      </c>
      <c r="J7" s="62">
        <f t="shared" ca="1" si="0"/>
        <v>31975.1</v>
      </c>
      <c r="L7" s="63">
        <f ca="1">SUMIFS(FATURAMENTO!$H$8:$H$1048576,FATURAMENTO!$M$8:$M$1048576,$L$3,FATURAMENTO!$K$8:$K$1048576,G7)</f>
        <v>589422.06999999983</v>
      </c>
      <c r="N7" s="60">
        <f>SUMIFS(FATURAMENTO!$H$8:$H$1048576,FATURAMENTO!$K$8:$K$1048576,RESUMO!$G7,FATURAMENTO!$O$8:$O$1048576,RESUMO!$N$3)</f>
        <v>0</v>
      </c>
      <c r="O7" s="60">
        <f>SUMIFS(FATURAMENTO!$H$8:$H$1048576,FATURAMENTO!$K$8:$K$1048576,RESUMO!$G7,FATURAMENTO!$Q$8:$Q$1048576,RESUMO!$O$3)</f>
        <v>0</v>
      </c>
      <c r="P7" s="60">
        <f>SUMIFS(FATURAMENTO!$H$8:$H$1048576,FATURAMENTO!$K$8:$K$1048576,RESUMO!$G7,FATURAMENTO!$Q$8:$Q$1048576,$P$3)</f>
        <v>0</v>
      </c>
      <c r="R7" s="60">
        <f>SUMIFS(FATURAMENTO!$H$8:$H$1048576,FATURAMENTO!$K$8:$K$1048576,RESUMO!$G7,FATURAMENTO!$S$8:$S$1048576,RESUMO!$R$3)</f>
        <v>36494</v>
      </c>
      <c r="S7" s="60">
        <f>SUMIFS(FATURAMENTO!$H$8:$H$1048576,FATURAMENTO!$K$8:$K$1048576,RESUMO!$G7,FATURAMENTO!$S$8:$S$1048576,$S$3)</f>
        <v>0</v>
      </c>
    </row>
    <row r="8" spans="2:19">
      <c r="B8" s="72" t="s">
        <v>0</v>
      </c>
      <c r="C8" s="73">
        <f>SUMIFS(FATURAMENTO!$H:$H,FATURAMENTO!$C:$C,RESUMO!C7,FATURAMENTO!$A:$A,RESUMO!B8,FATURAMENTO!$J:$J,RESUMO!$B$6)</f>
        <v>0</v>
      </c>
      <c r="D8" s="73">
        <f>SUMIFS(FATURAMENTO!$H:$H,FATURAMENTO!$C:$C,RESUMO!D7,FATURAMENTO!$A:$A,B8,FATURAMENTO!$J:$J,RESUMO!$B$6)</f>
        <v>0</v>
      </c>
      <c r="E8" s="74">
        <f>C8+D8</f>
        <v>0</v>
      </c>
      <c r="G8" s="64" t="s">
        <v>76</v>
      </c>
      <c r="H8" s="65">
        <f ca="1">SUMIFS(FATURAMENTO!$H$8:$H$1048576,FATURAMENTO!$M$8:$M$1048576,RESUMO!$H$3,FATURAMENTO!$K$8:$K$1048576,RESUMO!G8)</f>
        <v>790342.53</v>
      </c>
      <c r="I8" s="66">
        <f ca="1">SUMIFS(FATURAMENTO!$H$8:$H$1048576,FATURAMENTO!$M$8:$M$1048576,$I$3,FATURAMENTO!$K$8:$K$1048576,G8)</f>
        <v>0</v>
      </c>
      <c r="J8" s="67">
        <f t="shared" ca="1" si="0"/>
        <v>790342.53</v>
      </c>
      <c r="L8" s="68">
        <f ca="1">SUMIFS(FATURAMENTO!$H$8:$H$1048576,FATURAMENTO!$M$8:$M$1048576,$L$3,FATURAMENTO!$K$8:$K$1048576,G8)</f>
        <v>1387214.45</v>
      </c>
      <c r="N8" s="65">
        <f>SUMIFS(FATURAMENTO!$H$8:$H$1048576,FATURAMENTO!$K$8:$K$1048576,RESUMO!$G8,FATURAMENTO!$O$8:$O$1048576,RESUMO!$N$3)</f>
        <v>0</v>
      </c>
      <c r="O8" s="65">
        <f>SUMIFS(FATURAMENTO!$H$8:$H$1048576,FATURAMENTO!$K$8:$K$1048576,RESUMO!$G8,FATURAMENTO!$Q$8:$Q$1048576,RESUMO!$O$3)</f>
        <v>0</v>
      </c>
      <c r="P8" s="65">
        <f>SUMIFS(FATURAMENTO!$H$8:$H$1048576,FATURAMENTO!$K$8:$K$1048576,RESUMO!$G8,FATURAMENTO!$Q$8:$Q$1048576,$P$3)</f>
        <v>0</v>
      </c>
      <c r="R8" s="65">
        <f>SUMIFS(FATURAMENTO!$H$8:$H$1048576,FATURAMENTO!$K$8:$K$1048576,RESUMO!$G8,FATURAMENTO!$S$8:$S$1048576,RESUMO!$R$3)</f>
        <v>38628.76</v>
      </c>
      <c r="S8" s="65">
        <f>SUMIFS(FATURAMENTO!$H$8:$H$1048576,FATURAMENTO!$K$8:$K$1048576,RESUMO!$G8,FATURAMENTO!$S$8:$S$1048576,$S$3)</f>
        <v>0</v>
      </c>
    </row>
    <row r="9" spans="2:19">
      <c r="B9" s="75" t="s">
        <v>108</v>
      </c>
      <c r="C9" s="76">
        <f>SUMIFS(FATURAMENTO!$H:$H,FATURAMENTO!$C:$C,RESUMO!C8,FATURAMENTO!$A:$A,RESUMO!B9,FATURAMENTO!$J:$J,RESUMO!$B$6)</f>
        <v>0</v>
      </c>
      <c r="D9" s="77">
        <f>SUMIFS(FATURAMENTO!$H:$H,FATURAMENTO!$C:$C,RESUMO!D8,FATURAMENTO!$A:$A,B9,FATURAMENTO!$J:$J,RESUMO!$B$6)</f>
        <v>0</v>
      </c>
      <c r="E9" s="78">
        <f>C9+D9</f>
        <v>0</v>
      </c>
      <c r="G9" s="59" t="s">
        <v>77</v>
      </c>
      <c r="H9" s="60">
        <f ca="1">SUMIFS(FATURAMENTO!$H$8:$H$1048576,FATURAMENTO!$M$8:$M$1048576,RESUMO!$H$3,FATURAMENTO!$K$8:$K$1048576,RESUMO!G9)</f>
        <v>404006.17000000022</v>
      </c>
      <c r="I9" s="61">
        <f ca="1">SUMIFS(FATURAMENTO!$H$8:$H$1048576,FATURAMENTO!$M$8:$M$1048576,$I$3,FATURAMENTO!$K$8:$K$1048576,G9)</f>
        <v>35045.410000000003</v>
      </c>
      <c r="J9" s="62">
        <f t="shared" ca="1" si="0"/>
        <v>439051.58000000019</v>
      </c>
      <c r="L9" s="63">
        <f ca="1">SUMIFS(FATURAMENTO!$H$8:$H$1048576,FATURAMENTO!$M$8:$M$1048576,$L$3,FATURAMENTO!$K$8:$K$1048576,G9)</f>
        <v>380480.24000000022</v>
      </c>
      <c r="N9" s="60">
        <f>SUMIFS(FATURAMENTO!$H$8:$H$1048576,FATURAMENTO!$K$8:$K$1048576,RESUMO!$G9,FATURAMENTO!$O$8:$O$1048576,RESUMO!$N$3)</f>
        <v>0</v>
      </c>
      <c r="O9" s="60">
        <f>SUMIFS(FATURAMENTO!$H$8:$H$1048576,FATURAMENTO!$K$8:$K$1048576,RESUMO!$G9,FATURAMENTO!$Q$8:$Q$1048576,RESUMO!$O$3)</f>
        <v>0</v>
      </c>
      <c r="P9" s="60">
        <f>SUMIFS(FATURAMENTO!$H$8:$H$1048576,FATURAMENTO!$K$8:$K$1048576,RESUMO!$G9,FATURAMENTO!$Q$8:$Q$1048576,$P$3)</f>
        <v>0</v>
      </c>
      <c r="R9" s="60">
        <f>SUMIFS(FATURAMENTO!$H$8:$H$1048576,FATURAMENTO!$K$8:$K$1048576,RESUMO!$G9,FATURAMENTO!$S$8:$S$1048576,RESUMO!$R$3)</f>
        <v>17192</v>
      </c>
      <c r="S9" s="60">
        <f>SUMIFS(FATURAMENTO!$H$8:$H$1048576,FATURAMENTO!$K$8:$K$1048576,RESUMO!$G9,FATURAMENTO!$S$8:$S$1048576,$S$3)</f>
        <v>0</v>
      </c>
    </row>
    <row r="10" spans="2:19">
      <c r="B10" s="79" t="s">
        <v>7</v>
      </c>
      <c r="C10" s="73">
        <f>SUMIFS(FATURAMENTO!$H:$H,FATURAMENTO!$C:$C,RESUMO!C9,FATURAMENTO!$A:$A,RESUMO!B10,FATURAMENTO!$J:$J,RESUMO!$B$6)</f>
        <v>0</v>
      </c>
      <c r="D10" s="60">
        <f>SUMIFS(FATURAMENTO!$H:$H,FATURAMENTO!$C:$C,RESUMO!D9,FATURAMENTO!$A:$A,B10,FATURAMENTO!$J:$J,RESUMO!$B$6)</f>
        <v>0</v>
      </c>
      <c r="E10" s="80">
        <f>C10+D10</f>
        <v>0</v>
      </c>
      <c r="G10" s="64" t="s">
        <v>136</v>
      </c>
      <c r="H10" s="65">
        <f ca="1">SUMIFS(FATURAMENTO!$H$8:$H$1048576,FATURAMENTO!$M$8:$M$1048576,RESUMO!$H$3,FATURAMENTO!$K$8:$K$1048576,RESUMO!G10)</f>
        <v>0</v>
      </c>
      <c r="I10" s="66">
        <f ca="1">SUMIFS(FATURAMENTO!$H$8:$H$1048576,FATURAMENTO!$M$8:$M$1048576,$I$3,FATURAMENTO!$K$8:$K$1048576,G10)</f>
        <v>0</v>
      </c>
      <c r="J10" s="67">
        <f t="shared" ca="1" si="0"/>
        <v>0</v>
      </c>
      <c r="L10" s="68">
        <f ca="1">SUMIFS(FATURAMENTO!$H$8:$H$1048576,FATURAMENTO!$M$8:$M$1048576,$L$3,FATURAMENTO!$K$8:$K$1048576,G10)</f>
        <v>0</v>
      </c>
      <c r="N10" s="65">
        <f>SUMIFS(FATURAMENTO!$H$8:$H$1048576,FATURAMENTO!$K$8:$K$1048576,RESUMO!$G10,FATURAMENTO!$O$8:$O$1048576,RESUMO!$N$3)</f>
        <v>0</v>
      </c>
      <c r="O10" s="65">
        <f>SUMIFS(FATURAMENTO!$H$8:$H$1048576,FATURAMENTO!$K$8:$K$1048576,RESUMO!$G10,FATURAMENTO!$Q$8:$Q$1048576,RESUMO!$O$3)</f>
        <v>0</v>
      </c>
      <c r="P10" s="65">
        <f>SUMIFS(FATURAMENTO!$H$8:$H$1048576,FATURAMENTO!$K$8:$K$1048576,RESUMO!$G10,FATURAMENTO!$Q$8:$Q$1048576,$P$3)</f>
        <v>0</v>
      </c>
      <c r="R10" s="65">
        <f>SUMIFS(FATURAMENTO!$H$8:$H$1048576,FATURAMENTO!$K$8:$K$1048576,RESUMO!$G10,FATURAMENTO!$S$8:$S$1048576,RESUMO!$R$3)</f>
        <v>0</v>
      </c>
      <c r="S10" s="65">
        <f>SUMIFS(FATURAMENTO!$H$8:$H$1048576,FATURAMENTO!$K$8:$K$1048576,RESUMO!$G10,FATURAMENTO!$S$8:$S$1048576,$S$3)</f>
        <v>0</v>
      </c>
    </row>
    <row r="11" spans="2:19" ht="13.5" thickBot="1">
      <c r="B11" s="81"/>
      <c r="C11" s="82">
        <f>SUM(C8:C10)</f>
        <v>0</v>
      </c>
      <c r="D11" s="82">
        <f>SUM(D8:D10)</f>
        <v>0</v>
      </c>
      <c r="E11" s="83">
        <f>C11+D11</f>
        <v>0</v>
      </c>
      <c r="G11" s="59" t="s">
        <v>79</v>
      </c>
      <c r="H11" s="60">
        <f ca="1">SUMIFS(FATURAMENTO!$H$8:$H$1048576,FATURAMENTO!$M$8:$M$1048576,RESUMO!$H$3,FATURAMENTO!$K$8:$K$1048576,RESUMO!G11)</f>
        <v>125131.28</v>
      </c>
      <c r="I11" s="61">
        <f ca="1">SUMIFS(FATURAMENTO!$H$8:$H$1048576,FATURAMENTO!$M$8:$M$1048576,$I$3,FATURAMENTO!$K$8:$K$1048576,G11)</f>
        <v>0</v>
      </c>
      <c r="J11" s="62">
        <f t="shared" ca="1" si="0"/>
        <v>125131.28</v>
      </c>
      <c r="L11" s="63">
        <f ca="1">SUMIFS(FATURAMENTO!$H$8:$H$1048576,FATURAMENTO!$M$8:$M$1048576,$L$3,FATURAMENTO!$K$8:$K$1048576,G11)</f>
        <v>345775</v>
      </c>
      <c r="N11" s="60">
        <f>SUMIFS(FATURAMENTO!$H$8:$H$1048576,FATURAMENTO!$K$8:$K$1048576,RESUMO!$G11,FATURAMENTO!$O$8:$O$1048576,RESUMO!$N$3)</f>
        <v>0</v>
      </c>
      <c r="O11" s="60">
        <f>SUMIFS(FATURAMENTO!$H$8:$H$1048576,FATURAMENTO!$K$8:$K$1048576,RESUMO!$G11,FATURAMENTO!$Q$8:$Q$1048576,RESUMO!$O$3)</f>
        <v>0</v>
      </c>
      <c r="P11" s="60">
        <f>SUMIFS(FATURAMENTO!$H$8:$H$1048576,FATURAMENTO!$K$8:$K$1048576,RESUMO!$G11,FATURAMENTO!$Q$8:$Q$1048576,$P$3)</f>
        <v>0</v>
      </c>
      <c r="R11" s="60">
        <f>SUMIFS(FATURAMENTO!$H$8:$H$1048576,FATURAMENTO!$K$8:$K$1048576,RESUMO!$G11,FATURAMENTO!$S$8:$S$1048576,RESUMO!$R$3)</f>
        <v>0</v>
      </c>
      <c r="S11" s="60">
        <f>SUMIFS(FATURAMENTO!$H$8:$H$1048576,FATURAMENTO!$K$8:$K$1048576,RESUMO!$G11,FATURAMENTO!$S$8:$S$1048576,$S$3)</f>
        <v>0</v>
      </c>
    </row>
    <row r="12" spans="2:19">
      <c r="G12" s="64" t="s">
        <v>80</v>
      </c>
      <c r="H12" s="65">
        <f ca="1">SUMIFS(FATURAMENTO!$H$8:$H$1048576,FATURAMENTO!$M$8:$M$1048576,RESUMO!$H$3,FATURAMENTO!$K$8:$K$1048576,RESUMO!G12)</f>
        <v>248763.26999999993</v>
      </c>
      <c r="I12" s="66">
        <f ca="1">SUMIFS(FATURAMENTO!$H$8:$H$1048576,FATURAMENTO!$M$8:$M$1048576,$I$3,FATURAMENTO!$K$8:$K$1048576,G12)</f>
        <v>0</v>
      </c>
      <c r="J12" s="67">
        <f t="shared" ca="1" si="0"/>
        <v>248763.26999999993</v>
      </c>
      <c r="L12" s="68">
        <f ca="1">SUMIFS(FATURAMENTO!$H$8:$H$1048576,FATURAMENTO!$M$8:$M$1048576,$L$3,FATURAMENTO!$K$8:$K$1048576,G12)</f>
        <v>26137.19</v>
      </c>
      <c r="N12" s="65">
        <f>SUMIFS(FATURAMENTO!$H$8:$H$1048576,FATURAMENTO!$K$8:$K$1048576,RESUMO!$G12,FATURAMENTO!$O$8:$O$1048576,RESUMO!$N$3)</f>
        <v>0</v>
      </c>
      <c r="O12" s="65">
        <f>SUMIFS(FATURAMENTO!$H$8:$H$1048576,FATURAMENTO!$K$8:$K$1048576,RESUMO!$G12,FATURAMENTO!$Q$8:$Q$1048576,RESUMO!$O$3)</f>
        <v>0</v>
      </c>
      <c r="P12" s="65">
        <f>SUMIFS(FATURAMENTO!$H$8:$H$1048576,FATURAMENTO!$K$8:$K$1048576,RESUMO!$G12,FATURAMENTO!$Q$8:$Q$1048576,$P$3)</f>
        <v>0</v>
      </c>
      <c r="R12" s="65">
        <f>SUMIFS(FATURAMENTO!$H$8:$H$1048576,FATURAMENTO!$K$8:$K$1048576,RESUMO!$G12,FATURAMENTO!$S$8:$S$1048576,RESUMO!$R$3)</f>
        <v>0</v>
      </c>
      <c r="S12" s="65">
        <f>SUMIFS(FATURAMENTO!$H$8:$H$1048576,FATURAMENTO!$K$8:$K$1048576,RESUMO!$G12,FATURAMENTO!$S$8:$S$1048576,$S$3)</f>
        <v>0</v>
      </c>
    </row>
    <row r="13" spans="2:19">
      <c r="G13" s="84" t="s">
        <v>81</v>
      </c>
      <c r="H13" s="85">
        <f ca="1">SUMIFS(FATURAMENTO!$H$8:$H$1048576,FATURAMENTO!$M$8:$M$1048576,RESUMO!$H$3,FATURAMENTO!$K$8:$K$1048576,RESUMO!G13)</f>
        <v>33557.589999999997</v>
      </c>
      <c r="I13" s="86">
        <f ca="1">SUMIFS(FATURAMENTO!$H$8:$H$1048576,FATURAMENTO!$M$8:$M$1048576,$I$3,FATURAMENTO!$K$8:$K$1048576,G13)</f>
        <v>22669.17</v>
      </c>
      <c r="J13" s="87">
        <f t="shared" ca="1" si="0"/>
        <v>38412.179999999993</v>
      </c>
      <c r="L13" s="88">
        <f ca="1">SUMIFS(FATURAMENTO!$H$8:$H$1048576,FATURAMENTO!$M$8:$M$1048576,$L$3,FATURAMENTO!$K$8:$K$1048576,G13)</f>
        <v>361255.92000000004</v>
      </c>
      <c r="N13" s="85">
        <f>SUMIFS(FATURAMENTO!$H$8:$H$1048576,FATURAMENTO!$K$8:$K$1048576,RESUMO!$G13,FATURAMENTO!$O$8:$O$1048576,RESUMO!$N$3)</f>
        <v>17814.580000000002</v>
      </c>
      <c r="O13" s="85">
        <f>SUMIFS(FATURAMENTO!$H$8:$H$1048576,FATURAMENTO!$K$8:$K$1048576,RESUMO!$G13,FATURAMENTO!$Q$8:$Q$1048576,RESUMO!$O$3)</f>
        <v>1333.33</v>
      </c>
      <c r="P13" s="85">
        <f>SUMIFS(FATURAMENTO!$H$8:$H$1048576,FATURAMENTO!$K$8:$K$1048576,RESUMO!$G13,FATURAMENTO!$Q$8:$Q$1048576,$P$3)</f>
        <v>4540</v>
      </c>
      <c r="R13" s="85">
        <f>SUMIFS(FATURAMENTO!$H$8:$H$1048576,FATURAMENTO!$K$8:$K$1048576,RESUMO!$G13,FATURAMENTO!$S$8:$S$1048576,RESUMO!$R$3)</f>
        <v>0</v>
      </c>
      <c r="S13" s="85">
        <f>SUMIFS(FATURAMENTO!$H$8:$H$1048576,FATURAMENTO!$K$8:$K$1048576,RESUMO!$G13,FATURAMENTO!$S$8:$S$1048576,$S$3)</f>
        <v>1333.33</v>
      </c>
    </row>
    <row r="14" spans="2:19" hidden="1">
      <c r="G14" s="64"/>
      <c r="H14" s="65"/>
      <c r="I14" s="66"/>
      <c r="J14" s="67">
        <f t="shared" ref="J14:J18" si="1">H14+I14</f>
        <v>0</v>
      </c>
      <c r="L14" s="68">
        <f ca="1">SUMIFS(FATURAMENTO!$H$8:$H$1048576,FATURAMENTO!$M$8:$M$1048576,$L$3,FATURAMENTO!$K$8:$K$1048576,G14)</f>
        <v>0</v>
      </c>
      <c r="N14" s="65">
        <f>SUMIFS(FATURAMENTO!$H$8:$H$1048576,FATURAMENTO!$Q$8:$Q$1048576,RESUMO!$N$3,FATURAMENTO!$K$8:$K$1048576,RESUMO!$G14)</f>
        <v>0</v>
      </c>
      <c r="O14" s="65"/>
      <c r="P14" s="65"/>
      <c r="R14" s="65"/>
      <c r="S14" s="65"/>
    </row>
    <row r="15" spans="2:19" hidden="1">
      <c r="G15" s="84"/>
      <c r="H15" s="85"/>
      <c r="I15" s="86"/>
      <c r="J15" s="87"/>
      <c r="L15" s="88"/>
      <c r="N15" s="85"/>
      <c r="O15" s="85"/>
      <c r="P15" s="85"/>
      <c r="R15" s="85"/>
      <c r="S15" s="85"/>
    </row>
    <row r="16" spans="2:19" hidden="1">
      <c r="G16" s="89"/>
      <c r="H16" s="90"/>
      <c r="I16" s="91"/>
      <c r="J16" s="92"/>
      <c r="L16" s="93"/>
      <c r="N16" s="90"/>
      <c r="O16" s="90"/>
      <c r="P16" s="90"/>
      <c r="R16" s="90"/>
      <c r="S16" s="90"/>
    </row>
    <row r="17" spans="7:19" hidden="1">
      <c r="G17" s="84"/>
      <c r="H17" s="85"/>
      <c r="I17" s="86"/>
      <c r="J17" s="87">
        <f t="shared" si="1"/>
        <v>0</v>
      </c>
      <c r="L17" s="88">
        <f ca="1">SUMIFS(FATURAMENTO!$H$8:$H$1048576,FATURAMENTO!$M$8:$M$1048576,$L$3,FATURAMENTO!$K$8:$K$1048576,G17)</f>
        <v>0</v>
      </c>
      <c r="N17" s="85">
        <f>SUMIFS(FATURAMENTO!$H$8:$H$1048576,FATURAMENTO!$Q$8:$Q$1048576,RESUMO!$N$3,FATURAMENTO!$K$8:$K$1048576,RESUMO!$G17)</f>
        <v>0</v>
      </c>
      <c r="O17" s="85"/>
      <c r="P17" s="85"/>
      <c r="R17" s="85"/>
      <c r="S17" s="85"/>
    </row>
    <row r="18" spans="7:19" hidden="1">
      <c r="G18" s="64"/>
      <c r="H18" s="65"/>
      <c r="I18" s="66"/>
      <c r="J18" s="67">
        <f t="shared" si="1"/>
        <v>0</v>
      </c>
      <c r="L18" s="68">
        <f ca="1">SUMIFS(FATURAMENTO!$H$8:$H$1048576,FATURAMENTO!$M$8:$M$1048576,$L$3,FATURAMENTO!$K$8:$K$1048576,G18)</f>
        <v>0</v>
      </c>
      <c r="N18" s="65">
        <f>SUMIFS(FATURAMENTO!$H$8:$H$1048576,FATURAMENTO!$Q$8:$Q$1048576,RESUMO!$N$3,FATURAMENTO!$K$8:$K$1048576,RESUMO!$G18)</f>
        <v>0</v>
      </c>
      <c r="O18" s="65"/>
      <c r="P18" s="65"/>
      <c r="R18" s="65"/>
      <c r="S18" s="65"/>
    </row>
    <row r="19" spans="7:19" ht="13.5" thickBot="1">
      <c r="G19" s="94"/>
      <c r="H19" s="95">
        <f ca="1">SUM(H4:H13)</f>
        <v>2170829.3199999998</v>
      </c>
      <c r="I19" s="95">
        <f ca="1">SUM(I4:I13)</f>
        <v>89707.44</v>
      </c>
      <c r="J19" s="96">
        <f ca="1">SUM(J4:J13)</f>
        <v>2242722.1800000002</v>
      </c>
      <c r="L19" s="95">
        <f ca="1">SUM(L4:L13)</f>
        <v>3405358.96</v>
      </c>
      <c r="N19" s="95">
        <f>SUM(N4:N18)</f>
        <v>17814.580000000002</v>
      </c>
      <c r="O19" s="95">
        <f>SUM(O4:O18)</f>
        <v>1333.33</v>
      </c>
      <c r="P19" s="95">
        <f>SUM(P4:P18)</f>
        <v>4540</v>
      </c>
      <c r="R19" s="95">
        <f>SUM(R4:R18)</f>
        <v>92314.760000000009</v>
      </c>
      <c r="S19" s="95">
        <f>SUM(S4:S18)</f>
        <v>1333.33</v>
      </c>
    </row>
    <row r="20" spans="7:19" ht="13.5" thickBot="1"/>
    <row r="21" spans="7:19">
      <c r="G21" s="102" t="s">
        <v>125</v>
      </c>
      <c r="H21" s="103" t="e">
        <f>SUMIFS(FATURAMENTO!$H$20:$H$1048576,FATURAMENTO!$M$20:$M$1048576,RESUMO!$H$3,FATURAMENTO!$J$747:$J$1048576,RESUMO!G21)</f>
        <v>#VALUE!</v>
      </c>
      <c r="I21" s="104" t="e">
        <f>SUMIFS(FATURAMENTO!$H$20:$H$1048576,FATURAMENTO!$M$20:$M$1048576,$I$3,FATURAMENTO!$J$747:$J$1048576,G21)</f>
        <v>#VALUE!</v>
      </c>
      <c r="J21" s="105" t="e">
        <f t="shared" ref="J21:J22" si="2">H21+I21</f>
        <v>#VALUE!</v>
      </c>
      <c r="K21" s="106"/>
      <c r="L21" s="107">
        <f ca="1">SUMIFS(FATURAMENTO!$H$8:$H$1048576,FATURAMENTO!$M$8:$M$1048576,$L$3,FATURAMENTO!$K$8:$K$1048576,G21)</f>
        <v>0</v>
      </c>
    </row>
    <row r="22" spans="7:19" ht="13.5" thickBot="1">
      <c r="G22" s="97" t="s">
        <v>90</v>
      </c>
      <c r="H22" s="98" t="e">
        <f>SUMIFS(FATURAMENTO!$H$20:$H$1048576,FATURAMENTO!$M$20:$M$1048576,RESUMO!$H$3,FATURAMENTO!$J$747:$J$1048576,RESUMO!G22)</f>
        <v>#VALUE!</v>
      </c>
      <c r="I22" s="99" t="e">
        <f>SUMIFS(FATURAMENTO!$H$20:$H$1048576,FATURAMENTO!$M$20:$M$1048576,$I$3,FATURAMENTO!$J$747:$J$1048576,G22)</f>
        <v>#VALUE!</v>
      </c>
      <c r="J22" s="100" t="e">
        <f t="shared" si="2"/>
        <v>#VALUE!</v>
      </c>
      <c r="L22" s="101">
        <f ca="1">SUMIFS(FATURAMENTO!$H$8:$H$1048576,FATURAMENTO!$M$8:$M$1048576,$L$3,FATURAMENTO!$K$8:$K$1048576,G22)</f>
        <v>0</v>
      </c>
    </row>
  </sheetData>
  <mergeCells count="5">
    <mergeCell ref="B1:E1"/>
    <mergeCell ref="B3:C3"/>
    <mergeCell ref="B4:C4"/>
    <mergeCell ref="B6:E6"/>
    <mergeCell ref="R2:S2"/>
  </mergeCells>
  <conditionalFormatting sqref="B6">
    <cfRule type="cellIs" dxfId="126" priority="26" operator="equal">
      <formula>"VENCIDO"</formula>
    </cfRule>
    <cfRule type="cellIs" dxfId="125" priority="27" operator="equal">
      <formula>"A VENCER"</formula>
    </cfRule>
    <cfRule type="expression" dxfId="124" priority="28">
      <formula>#REF!="TROCADO"</formula>
    </cfRule>
  </conditionalFormatting>
  <conditionalFormatting sqref="H3:J3">
    <cfRule type="cellIs" dxfId="123" priority="38" operator="equal">
      <formula>"VENCIDO"</formula>
    </cfRule>
    <cfRule type="cellIs" dxfId="122" priority="39" operator="equal">
      <formula>"A VENCER"</formula>
    </cfRule>
    <cfRule type="expression" dxfId="121" priority="40">
      <formula>#REF!="TROCADO"</formula>
    </cfRule>
  </conditionalFormatting>
  <conditionalFormatting sqref="L3">
    <cfRule type="cellIs" dxfId="120" priority="18" operator="equal">
      <formula>"LIQUIDADO"</formula>
    </cfRule>
    <cfRule type="expression" dxfId="119" priority="19">
      <formula>#REF!="TROCADO"</formula>
    </cfRule>
    <cfRule type="cellIs" dxfId="118" priority="21" operator="equal">
      <formula>"VENCIDO"</formula>
    </cfRule>
    <cfRule type="cellIs" dxfId="117" priority="22" operator="equal">
      <formula>"A VENCER"</formula>
    </cfRule>
  </conditionalFormatting>
  <conditionalFormatting sqref="O3:P3">
    <cfRule type="cellIs" dxfId="116" priority="4" operator="equal">
      <formula>"RECEBIDO"</formula>
    </cfRule>
    <cfRule type="cellIs" dxfId="115" priority="5" operator="equal">
      <formula>"A RECEBER"</formula>
    </cfRule>
    <cfRule type="expression" dxfId="114" priority="6">
      <formula>"SE+$O$4=""RECOMPRADO"""</formula>
    </cfRule>
    <cfRule type="expression" dxfId="113" priority="7">
      <formula>#REF!="TROCADO"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BASE!$E$2:$E$4</xm:f>
          </x14:formula1>
          <xm:sqref>O3:P3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5:V970"/>
  <sheetViews>
    <sheetView showGridLines="0" tabSelected="1" zoomScale="130" zoomScaleNormal="130" workbookViewId="0">
      <pane ySplit="7" topLeftCell="A905" activePane="bottomLeft" state="frozen"/>
      <selection pane="bottomLeft" activeCell="B5" sqref="B5"/>
    </sheetView>
  </sheetViews>
  <sheetFormatPr defaultRowHeight="15"/>
  <cols>
    <col min="1" max="1" width="17" style="19" customWidth="1"/>
    <col min="2" max="2" width="12.5703125" style="1" customWidth="1"/>
    <col min="3" max="3" width="14.85546875" style="19" customWidth="1"/>
    <col min="4" max="4" width="14.140625" style="19" customWidth="1"/>
    <col min="5" max="5" width="11.85546875" style="24" customWidth="1"/>
    <col min="6" max="6" width="62.85546875" style="19" customWidth="1"/>
    <col min="7" max="7" width="44" style="19" customWidth="1"/>
    <col min="8" max="8" width="20.140625" style="40" customWidth="1" collapsed="1"/>
    <col min="9" max="9" width="27.5703125" style="1" customWidth="1"/>
    <col min="10" max="10" width="16.140625" style="1" customWidth="1"/>
    <col min="11" max="11" width="25" style="19" customWidth="1"/>
    <col min="12" max="12" width="13.85546875" style="1" customWidth="1"/>
    <col min="13" max="13" width="12.7109375" style="19" customWidth="1"/>
    <col min="14" max="14" width="12.7109375" style="213" customWidth="1"/>
    <col min="15" max="15" width="15.7109375" style="19" customWidth="1"/>
    <col min="16" max="16" width="15.7109375" style="1" customWidth="1"/>
    <col min="17" max="19" width="15.7109375" style="19" customWidth="1"/>
    <col min="20" max="20" width="136.7109375" bestFit="1" customWidth="1"/>
    <col min="21" max="21" width="26.85546875" customWidth="1"/>
    <col min="22" max="22" width="15.140625" customWidth="1"/>
    <col min="23" max="23" width="12.7109375" customWidth="1"/>
  </cols>
  <sheetData>
    <row r="5" spans="1:22">
      <c r="A5" s="20"/>
      <c r="B5" s="8"/>
      <c r="D5" s="20"/>
      <c r="E5" s="25"/>
      <c r="F5" s="20"/>
      <c r="G5" s="109" t="s">
        <v>103</v>
      </c>
      <c r="H5" s="37">
        <f>SUM(H8:H1048576)</f>
        <v>6418105.3999999994</v>
      </c>
      <c r="I5" s="108">
        <f ca="1">TODAY()</f>
        <v>46098</v>
      </c>
      <c r="J5" s="8"/>
      <c r="L5" s="8"/>
      <c r="M5" s="20"/>
      <c r="N5" s="210"/>
      <c r="O5" s="20"/>
      <c r="P5" s="8"/>
      <c r="Q5" s="20"/>
      <c r="R5" s="20"/>
      <c r="S5" s="20"/>
    </row>
    <row r="6" spans="1:22">
      <c r="A6" s="325" t="s">
        <v>154</v>
      </c>
      <c r="B6" s="325"/>
      <c r="C6" s="325"/>
      <c r="D6" s="325"/>
      <c r="E6" s="325"/>
      <c r="F6" s="325"/>
      <c r="G6" s="109" t="s">
        <v>135</v>
      </c>
      <c r="H6" s="37">
        <f>SUBTOTAL(9,H8:H1048576)</f>
        <v>6418105.3999999994</v>
      </c>
      <c r="I6" s="108" t="s">
        <v>111</v>
      </c>
      <c r="J6" s="8"/>
      <c r="K6" s="326" t="s">
        <v>155</v>
      </c>
      <c r="L6" s="326"/>
      <c r="M6" s="20"/>
      <c r="N6" s="209" t="s">
        <v>84</v>
      </c>
      <c r="O6" s="325" t="s">
        <v>156</v>
      </c>
      <c r="P6" s="325"/>
      <c r="Q6" s="327" t="s">
        <v>157</v>
      </c>
      <c r="R6" s="325"/>
      <c r="S6" s="20"/>
    </row>
    <row r="7" spans="1:22">
      <c r="A7" s="28" t="s">
        <v>40</v>
      </c>
      <c r="B7" s="28" t="s">
        <v>36</v>
      </c>
      <c r="C7" s="234" t="s">
        <v>37</v>
      </c>
      <c r="D7" s="30" t="s">
        <v>38</v>
      </c>
      <c r="E7" s="31" t="s">
        <v>93</v>
      </c>
      <c r="F7" s="32" t="s">
        <v>39</v>
      </c>
      <c r="G7" s="32" t="s">
        <v>45</v>
      </c>
      <c r="H7" s="32" t="s">
        <v>94</v>
      </c>
      <c r="I7" s="33" t="s">
        <v>42</v>
      </c>
      <c r="J7" s="34" t="s">
        <v>89</v>
      </c>
      <c r="K7" s="30" t="s">
        <v>44</v>
      </c>
      <c r="L7" s="29" t="s">
        <v>88</v>
      </c>
      <c r="M7" s="34" t="s">
        <v>83</v>
      </c>
      <c r="N7" s="214" t="s">
        <v>256</v>
      </c>
      <c r="O7" s="29" t="s">
        <v>102</v>
      </c>
      <c r="P7" s="29" t="s">
        <v>152</v>
      </c>
      <c r="Q7" s="30" t="s">
        <v>87</v>
      </c>
      <c r="R7" s="30" t="s">
        <v>153</v>
      </c>
      <c r="S7" s="110" t="s">
        <v>149</v>
      </c>
      <c r="T7" s="111" t="s">
        <v>139</v>
      </c>
      <c r="U7" s="111" t="s">
        <v>653</v>
      </c>
      <c r="V7" s="111" t="s">
        <v>636</v>
      </c>
    </row>
    <row r="8" spans="1:22">
      <c r="A8" s="218" t="s">
        <v>0</v>
      </c>
      <c r="B8" s="219">
        <v>45966</v>
      </c>
      <c r="C8" s="6" t="s">
        <v>41</v>
      </c>
      <c r="D8" s="5" t="s">
        <v>409</v>
      </c>
      <c r="E8" s="10" t="s">
        <v>441</v>
      </c>
      <c r="F8" s="5" t="s">
        <v>455</v>
      </c>
      <c r="G8" s="353" t="s">
        <v>488</v>
      </c>
      <c r="H8" s="231">
        <v>15586.66</v>
      </c>
      <c r="I8" s="7">
        <v>46031</v>
      </c>
      <c r="J8" s="221" t="s">
        <v>91</v>
      </c>
      <c r="K8" s="5" t="s">
        <v>75</v>
      </c>
      <c r="L8" s="219">
        <v>46003</v>
      </c>
      <c r="M8" s="218" t="str">
        <f>IF(Tabela4[[#This Row],[RECOMPRADO]]="RECEBIDO","LIQUIDADO",IF(O8="LIQUIDADO","LIQUIDADO",IF(I8&lt;$I$5,"VENCIDO","A VENCER")))</f>
        <v>LIQUIDADO</v>
      </c>
      <c r="N8" s="222" t="str">
        <f>IF(Tabela4[[#This Row],[STATUS]]="LIQUIDADO","",Tabela4[[#This Row],[VCTO]]-$I$5)</f>
        <v/>
      </c>
      <c r="O8" s="218" t="s">
        <v>86</v>
      </c>
      <c r="P8" s="219"/>
      <c r="Q8" s="218"/>
      <c r="R8" s="237"/>
      <c r="S8" s="237"/>
      <c r="T8" s="237"/>
      <c r="U8" s="237"/>
      <c r="V8" s="355"/>
    </row>
    <row r="9" spans="1:22">
      <c r="A9" s="218" t="s">
        <v>108</v>
      </c>
      <c r="B9" s="219">
        <v>45971</v>
      </c>
      <c r="C9" s="6" t="s">
        <v>41</v>
      </c>
      <c r="D9" s="218" t="s">
        <v>410</v>
      </c>
      <c r="E9" s="10" t="s">
        <v>442</v>
      </c>
      <c r="F9" s="6" t="s">
        <v>623</v>
      </c>
      <c r="G9" s="353" t="s">
        <v>487</v>
      </c>
      <c r="H9" s="231">
        <v>1666.66</v>
      </c>
      <c r="I9" s="221">
        <v>46016</v>
      </c>
      <c r="J9" s="221" t="s">
        <v>91</v>
      </c>
      <c r="K9" s="5" t="s">
        <v>454</v>
      </c>
      <c r="L9" s="219"/>
      <c r="M9" s="218" t="str">
        <f>IF(Tabela4[[#This Row],[RECOMPRADO]]="RECEBIDO","LIQUIDADO",IF(O9="LIQUIDADO","LIQUIDADO",IF(I9&lt;$I$5,"VENCIDO","A VENCER")))</f>
        <v>LIQUIDADO</v>
      </c>
      <c r="N9" s="222" t="str">
        <f>IF(Tabela4[[#This Row],[STATUS]]="LIQUIDADO","",Tabela4[[#This Row],[VCTO]]-$I$5)</f>
        <v/>
      </c>
      <c r="O9" s="218" t="s">
        <v>86</v>
      </c>
      <c r="P9" s="219"/>
      <c r="Q9" s="218"/>
      <c r="R9" s="218"/>
      <c r="S9" s="218"/>
      <c r="T9" s="218"/>
      <c r="U9" s="218"/>
      <c r="V9" s="5"/>
    </row>
    <row r="10" spans="1:22">
      <c r="A10" s="218" t="s">
        <v>108</v>
      </c>
      <c r="B10" s="219">
        <v>45971</v>
      </c>
      <c r="C10" s="6" t="s">
        <v>43</v>
      </c>
      <c r="D10" s="218" t="s">
        <v>410</v>
      </c>
      <c r="E10" s="10" t="s">
        <v>441</v>
      </c>
      <c r="F10" s="6" t="s">
        <v>456</v>
      </c>
      <c r="G10" s="353" t="s">
        <v>487</v>
      </c>
      <c r="H10" s="231">
        <v>1666.68</v>
      </c>
      <c r="I10" s="221">
        <v>46031</v>
      </c>
      <c r="J10" s="221" t="s">
        <v>91</v>
      </c>
      <c r="K10" s="5" t="s">
        <v>77</v>
      </c>
      <c r="L10" s="219">
        <v>46025</v>
      </c>
      <c r="M10" s="218" t="str">
        <f>IF(Tabela4[[#This Row],[RECOMPRADO]]="RECEBIDO","LIQUIDADO",IF(O10="LIQUIDADO","LIQUIDADO",IF(I10&lt;$I$5,"VENCIDO","A VENCER")))</f>
        <v>LIQUIDADO</v>
      </c>
      <c r="N10" s="222" t="str">
        <f>IF(Tabela4[[#This Row],[STATUS]]="LIQUIDADO","",Tabela4[[#This Row],[VCTO]]-$I$5)</f>
        <v/>
      </c>
      <c r="O10" s="218" t="s">
        <v>86</v>
      </c>
      <c r="P10" s="219"/>
      <c r="Q10" s="218"/>
      <c r="R10" s="218"/>
      <c r="S10" s="218"/>
      <c r="T10" s="218"/>
      <c r="U10" s="218"/>
      <c r="V10" s="5"/>
    </row>
    <row r="11" spans="1:22">
      <c r="A11" s="218" t="s">
        <v>108</v>
      </c>
      <c r="B11" s="219">
        <v>45971</v>
      </c>
      <c r="C11" s="6" t="s">
        <v>41</v>
      </c>
      <c r="D11" s="218" t="s">
        <v>410</v>
      </c>
      <c r="E11" s="10" t="s">
        <v>443</v>
      </c>
      <c r="F11" s="6" t="s">
        <v>456</v>
      </c>
      <c r="G11" s="353" t="s">
        <v>487</v>
      </c>
      <c r="H11" s="231">
        <v>3513.33</v>
      </c>
      <c r="I11" s="221">
        <v>46001</v>
      </c>
      <c r="J11" s="221" t="s">
        <v>91</v>
      </c>
      <c r="K11" s="218" t="s">
        <v>454</v>
      </c>
      <c r="L11" s="219"/>
      <c r="M11" s="218" t="str">
        <f>IF(Tabela4[[#This Row],[RECOMPRADO]]="RECEBIDO","LIQUIDADO",IF(O11="LIQUIDADO","LIQUIDADO",IF(I11&lt;$I$5,"VENCIDO","A VENCER")))</f>
        <v>LIQUIDADO</v>
      </c>
      <c r="N11" s="222" t="str">
        <f>IF(Tabela4[[#This Row],[STATUS]]="LIQUIDADO","",Tabela4[[#This Row],[VCTO]]-$I$5)</f>
        <v/>
      </c>
      <c r="O11" s="218" t="s">
        <v>86</v>
      </c>
      <c r="P11" s="219"/>
      <c r="Q11" s="218"/>
      <c r="R11" s="218"/>
      <c r="S11" s="218"/>
      <c r="T11" s="218"/>
      <c r="U11" s="218"/>
      <c r="V11" s="5"/>
    </row>
    <row r="12" spans="1:22">
      <c r="A12" s="218" t="s">
        <v>108</v>
      </c>
      <c r="B12" s="219">
        <v>45971</v>
      </c>
      <c r="C12" s="6" t="s">
        <v>41</v>
      </c>
      <c r="D12" s="5" t="s">
        <v>410</v>
      </c>
      <c r="E12" s="10" t="s">
        <v>441</v>
      </c>
      <c r="F12" s="5" t="s">
        <v>456</v>
      </c>
      <c r="G12" s="353" t="s">
        <v>487</v>
      </c>
      <c r="H12" s="231">
        <v>3446.66</v>
      </c>
      <c r="I12" s="7">
        <v>46031</v>
      </c>
      <c r="J12" s="221" t="s">
        <v>91</v>
      </c>
      <c r="K12" s="218" t="s">
        <v>454</v>
      </c>
      <c r="L12" s="219"/>
      <c r="M12" s="218" t="str">
        <f>IF(Tabela4[[#This Row],[RECOMPRADO]]="RECEBIDO","LIQUIDADO",IF(O12="LIQUIDADO","LIQUIDADO",IF(I12&lt;$I$5,"VENCIDO","A VENCER")))</f>
        <v>LIQUIDADO</v>
      </c>
      <c r="N12" s="222" t="str">
        <f>IF(Tabela4[[#This Row],[STATUS]]="LIQUIDADO","",Tabela4[[#This Row],[VCTO]]-$I$5)</f>
        <v/>
      </c>
      <c r="O12" s="218" t="s">
        <v>86</v>
      </c>
      <c r="P12" s="219"/>
      <c r="Q12" s="218"/>
      <c r="R12" s="218"/>
      <c r="S12" s="218"/>
      <c r="T12" s="218"/>
      <c r="U12" s="218"/>
      <c r="V12" s="5"/>
    </row>
    <row r="13" spans="1:22">
      <c r="A13" s="218" t="s">
        <v>108</v>
      </c>
      <c r="B13" s="219">
        <v>45973</v>
      </c>
      <c r="C13" s="6" t="s">
        <v>41</v>
      </c>
      <c r="D13" s="218" t="s">
        <v>411</v>
      </c>
      <c r="E13" s="10" t="s">
        <v>444</v>
      </c>
      <c r="F13" s="6" t="s">
        <v>457</v>
      </c>
      <c r="G13" s="353" t="s">
        <v>489</v>
      </c>
      <c r="H13" s="231">
        <v>3035.85</v>
      </c>
      <c r="I13" s="221">
        <v>46030</v>
      </c>
      <c r="J13" s="221" t="s">
        <v>91</v>
      </c>
      <c r="K13" s="218" t="s">
        <v>76</v>
      </c>
      <c r="L13" s="219">
        <v>46003</v>
      </c>
      <c r="M13" s="218" t="str">
        <f>IF(Tabela4[[#This Row],[RECOMPRADO]]="RECEBIDO","LIQUIDADO",IF(O13="LIQUIDADO","LIQUIDADO",IF(I13&lt;$I$5,"VENCIDO","A VENCER")))</f>
        <v>LIQUIDADO</v>
      </c>
      <c r="N13" s="222" t="str">
        <f>IF(Tabela4[[#This Row],[STATUS]]="LIQUIDADO","",Tabela4[[#This Row],[VCTO]]-$I$5)</f>
        <v/>
      </c>
      <c r="O13" s="218" t="s">
        <v>86</v>
      </c>
      <c r="P13" s="219"/>
      <c r="Q13" s="218"/>
      <c r="R13" s="218"/>
      <c r="S13" s="218"/>
      <c r="T13" s="218"/>
      <c r="U13" s="218"/>
      <c r="V13" s="5"/>
    </row>
    <row r="14" spans="1:22">
      <c r="A14" s="218" t="s">
        <v>108</v>
      </c>
      <c r="B14" s="219">
        <v>45973</v>
      </c>
      <c r="C14" s="6" t="s">
        <v>41</v>
      </c>
      <c r="D14" s="5" t="s">
        <v>412</v>
      </c>
      <c r="E14" s="10" t="s">
        <v>444</v>
      </c>
      <c r="F14" s="5" t="s">
        <v>458</v>
      </c>
      <c r="G14" s="353" t="s">
        <v>490</v>
      </c>
      <c r="H14" s="231">
        <v>2400</v>
      </c>
      <c r="I14" s="7">
        <v>46030</v>
      </c>
      <c r="J14" s="221" t="s">
        <v>91</v>
      </c>
      <c r="K14" s="218" t="s">
        <v>76</v>
      </c>
      <c r="L14" s="219">
        <v>46003</v>
      </c>
      <c r="M14" s="218" t="str">
        <f>IF(Tabela4[[#This Row],[RECOMPRADO]]="RECEBIDO","LIQUIDADO",IF(O14="LIQUIDADO","LIQUIDADO",IF(I14&lt;$I$5,"VENCIDO","A VENCER")))</f>
        <v>LIQUIDADO</v>
      </c>
      <c r="N14" s="222" t="str">
        <f>IF(Tabela4[[#This Row],[STATUS]]="LIQUIDADO","",Tabela4[[#This Row],[VCTO]]-$I$5)</f>
        <v/>
      </c>
      <c r="O14" s="218" t="s">
        <v>86</v>
      </c>
      <c r="P14" s="219"/>
      <c r="Q14" s="218"/>
      <c r="R14" s="218"/>
      <c r="S14" s="218"/>
      <c r="T14" s="218"/>
      <c r="U14" s="218"/>
      <c r="V14" s="5"/>
    </row>
    <row r="15" spans="1:22">
      <c r="A15" s="218" t="s">
        <v>108</v>
      </c>
      <c r="B15" s="219">
        <v>45975</v>
      </c>
      <c r="C15" s="6" t="s">
        <v>41</v>
      </c>
      <c r="D15" s="218" t="s">
        <v>413</v>
      </c>
      <c r="E15" s="10" t="s">
        <v>445</v>
      </c>
      <c r="F15" s="6" t="s">
        <v>12</v>
      </c>
      <c r="G15" s="215" t="s">
        <v>144</v>
      </c>
      <c r="H15" s="231">
        <v>2600.6</v>
      </c>
      <c r="I15" s="221">
        <v>46031</v>
      </c>
      <c r="J15" s="221" t="s">
        <v>91</v>
      </c>
      <c r="K15" s="218" t="s">
        <v>81</v>
      </c>
      <c r="L15" s="219">
        <v>46027</v>
      </c>
      <c r="M15" s="218" t="str">
        <f>IF(Tabela4[[#This Row],[RECOMPRADO]]="RECEBIDO","LIQUIDADO",IF(O15="LIQUIDADO","LIQUIDADO",IF(I15&lt;$I$5,"VENCIDO","A VENCER")))</f>
        <v>LIQUIDADO</v>
      </c>
      <c r="N15" s="222" t="str">
        <f>IF(Tabela4[[#This Row],[STATUS]]="LIQUIDADO","",Tabela4[[#This Row],[VCTO]]-$I$5)</f>
        <v/>
      </c>
      <c r="O15" s="218" t="s">
        <v>86</v>
      </c>
      <c r="P15" s="219"/>
      <c r="Q15" s="218"/>
      <c r="R15" s="218"/>
      <c r="S15" s="218"/>
      <c r="T15" s="218"/>
      <c r="U15" s="218"/>
      <c r="V15" s="5"/>
    </row>
    <row r="16" spans="1:22">
      <c r="A16" s="218" t="s">
        <v>0</v>
      </c>
      <c r="B16" s="219">
        <v>45978</v>
      </c>
      <c r="C16" s="6" t="s">
        <v>41</v>
      </c>
      <c r="D16" s="5" t="s">
        <v>414</v>
      </c>
      <c r="E16" s="10" t="s">
        <v>441</v>
      </c>
      <c r="F16" s="5" t="s">
        <v>21</v>
      </c>
      <c r="G16" s="225" t="s">
        <v>54</v>
      </c>
      <c r="H16" s="231">
        <v>10432.61</v>
      </c>
      <c r="I16" s="7">
        <v>46069</v>
      </c>
      <c r="J16" s="221" t="s">
        <v>91</v>
      </c>
      <c r="K16" s="218" t="s">
        <v>76</v>
      </c>
      <c r="L16" s="219">
        <v>46003</v>
      </c>
      <c r="M16" s="218" t="str">
        <f>IF(Tabela4[[#This Row],[RECOMPRADO]]="RECEBIDO","LIQUIDADO",IF(O16="LIQUIDADO","LIQUIDADO",IF(I16&lt;$I$5,"VENCIDO","A VENCER")))</f>
        <v>LIQUIDADO</v>
      </c>
      <c r="N16" s="222" t="str">
        <f>IF(Tabela4[[#This Row],[STATUS]]="LIQUIDADO","",Tabela4[[#This Row],[VCTO]]-$I$5)</f>
        <v/>
      </c>
      <c r="O16" s="218" t="s">
        <v>86</v>
      </c>
      <c r="P16" s="219"/>
      <c r="Q16" s="218"/>
      <c r="R16" s="218"/>
      <c r="S16" s="218"/>
      <c r="T16" s="218"/>
      <c r="U16" s="218"/>
      <c r="V16" s="5"/>
    </row>
    <row r="17" spans="1:22">
      <c r="A17" s="218" t="s">
        <v>7</v>
      </c>
      <c r="B17" s="219">
        <v>45978</v>
      </c>
      <c r="C17" s="6" t="s">
        <v>41</v>
      </c>
      <c r="D17" s="218" t="s">
        <v>415</v>
      </c>
      <c r="E17" s="10" t="s">
        <v>444</v>
      </c>
      <c r="F17" s="6" t="s">
        <v>459</v>
      </c>
      <c r="G17" s="353" t="s">
        <v>491</v>
      </c>
      <c r="H17" s="231">
        <v>3225</v>
      </c>
      <c r="I17" s="221">
        <v>46044</v>
      </c>
      <c r="J17" s="221" t="s">
        <v>91</v>
      </c>
      <c r="K17" s="218" t="s">
        <v>76</v>
      </c>
      <c r="L17" s="219">
        <v>46003</v>
      </c>
      <c r="M17" s="218" t="str">
        <f>IF(Tabela4[[#This Row],[RECOMPRADO]]="RECEBIDO","LIQUIDADO",IF(O17="LIQUIDADO","LIQUIDADO",IF(I17&lt;$I$5,"VENCIDO","A VENCER")))</f>
        <v>LIQUIDADO</v>
      </c>
      <c r="N17" s="222" t="str">
        <f>IF(Tabela4[[#This Row],[STATUS]]="LIQUIDADO","",Tabela4[[#This Row],[VCTO]]-$I$5)</f>
        <v/>
      </c>
      <c r="O17" s="218" t="s">
        <v>86</v>
      </c>
      <c r="P17" s="219"/>
      <c r="Q17" s="218"/>
      <c r="R17" s="218"/>
      <c r="S17" s="218"/>
      <c r="T17" s="218"/>
      <c r="U17" s="218"/>
      <c r="V17" s="5"/>
    </row>
    <row r="18" spans="1:22">
      <c r="A18" s="218" t="s">
        <v>7</v>
      </c>
      <c r="B18" s="219">
        <v>45978</v>
      </c>
      <c r="C18" s="6" t="s">
        <v>41</v>
      </c>
      <c r="D18" s="5" t="s">
        <v>416</v>
      </c>
      <c r="E18" s="10" t="s">
        <v>446</v>
      </c>
      <c r="F18" s="5" t="s">
        <v>114</v>
      </c>
      <c r="G18" s="215" t="s">
        <v>141</v>
      </c>
      <c r="H18" s="231">
        <v>38628.76</v>
      </c>
      <c r="I18" s="7">
        <v>46066</v>
      </c>
      <c r="J18" s="221" t="s">
        <v>91</v>
      </c>
      <c r="K18" s="218" t="s">
        <v>76</v>
      </c>
      <c r="L18" s="219">
        <v>46003</v>
      </c>
      <c r="M18" s="218" t="str">
        <f>IF(Tabela4[[#This Row],[RECOMPRADO]]="RECEBIDO","LIQUIDADO",IF(O18="LIQUIDADO","LIQUIDADO",IF(I18&lt;$I$5,"VENCIDO","A VENCER")))</f>
        <v>LIQUIDADO</v>
      </c>
      <c r="N18" s="222" t="str">
        <f>IF(Tabela4[[#This Row],[STATUS]]="LIQUIDADO","",Tabela4[[#This Row],[VCTO]]-$I$5)</f>
        <v/>
      </c>
      <c r="O18" s="218" t="s">
        <v>86</v>
      </c>
      <c r="P18" s="219"/>
      <c r="Q18" s="218"/>
      <c r="R18" s="218"/>
      <c r="S18" s="218" t="s">
        <v>151</v>
      </c>
      <c r="T18" s="5" t="s">
        <v>580</v>
      </c>
      <c r="U18" s="5"/>
      <c r="V18" s="5"/>
    </row>
    <row r="19" spans="1:22">
      <c r="A19" s="218" t="s">
        <v>0</v>
      </c>
      <c r="B19" s="219">
        <v>45978</v>
      </c>
      <c r="C19" s="6" t="s">
        <v>41</v>
      </c>
      <c r="D19" s="5" t="s">
        <v>417</v>
      </c>
      <c r="E19" s="10" t="s">
        <v>447</v>
      </c>
      <c r="F19" s="5" t="s">
        <v>460</v>
      </c>
      <c r="G19" s="353" t="s">
        <v>492</v>
      </c>
      <c r="H19" s="231">
        <v>1854</v>
      </c>
      <c r="I19" s="7">
        <v>46031</v>
      </c>
      <c r="J19" s="221" t="s">
        <v>91</v>
      </c>
      <c r="K19" s="218" t="s">
        <v>76</v>
      </c>
      <c r="L19" s="219">
        <v>46003</v>
      </c>
      <c r="M19" s="218" t="str">
        <f>IF(Tabela4[[#This Row],[RECOMPRADO]]="RECEBIDO","LIQUIDADO",IF(O19="LIQUIDADO","LIQUIDADO",IF(I19&lt;$I$5,"VENCIDO","A VENCER")))</f>
        <v>LIQUIDADO</v>
      </c>
      <c r="N19" s="222" t="str">
        <f>IF(Tabela4[[#This Row],[STATUS]]="LIQUIDADO","",Tabela4[[#This Row],[VCTO]]-$I$5)</f>
        <v/>
      </c>
      <c r="O19" s="218" t="s">
        <v>86</v>
      </c>
      <c r="P19" s="219"/>
      <c r="Q19" s="218"/>
      <c r="R19" s="218"/>
      <c r="S19" s="218"/>
      <c r="T19" s="218"/>
      <c r="U19" s="218"/>
      <c r="V19" s="5"/>
    </row>
    <row r="20" spans="1:22">
      <c r="A20" s="218" t="s">
        <v>7</v>
      </c>
      <c r="B20" s="219">
        <v>45978</v>
      </c>
      <c r="C20" s="6" t="s">
        <v>41</v>
      </c>
      <c r="D20" s="218" t="s">
        <v>415</v>
      </c>
      <c r="E20" s="10" t="s">
        <v>448</v>
      </c>
      <c r="F20" s="6" t="s">
        <v>459</v>
      </c>
      <c r="G20" s="353" t="s">
        <v>491</v>
      </c>
      <c r="H20" s="231">
        <v>3225</v>
      </c>
      <c r="I20" s="221">
        <v>46037</v>
      </c>
      <c r="J20" s="221" t="s">
        <v>91</v>
      </c>
      <c r="K20" s="218" t="s">
        <v>76</v>
      </c>
      <c r="L20" s="219">
        <v>46003</v>
      </c>
      <c r="M20" s="218" t="str">
        <f>IF(Tabela4[[#This Row],[RECOMPRADO]]="RECEBIDO","LIQUIDADO",IF(O20="LIQUIDADO","LIQUIDADO",IF(I20&lt;$I$5,"VENCIDO","A VENCER")))</f>
        <v>LIQUIDADO</v>
      </c>
      <c r="N20" s="222" t="str">
        <f>IF(Tabela4[[#This Row],[STATUS]]="LIQUIDADO","",Tabela4[[#This Row],[VCTO]]-$I$5)</f>
        <v/>
      </c>
      <c r="O20" s="218" t="s">
        <v>86</v>
      </c>
      <c r="P20" s="219"/>
      <c r="Q20" s="218"/>
      <c r="R20" s="218"/>
      <c r="S20" s="218"/>
      <c r="T20" s="218"/>
      <c r="U20" s="218"/>
      <c r="V20" s="5"/>
    </row>
    <row r="21" spans="1:22">
      <c r="A21" s="218" t="s">
        <v>7</v>
      </c>
      <c r="B21" s="219">
        <v>45978</v>
      </c>
      <c r="C21" s="6" t="s">
        <v>41</v>
      </c>
      <c r="D21" s="5" t="s">
        <v>415</v>
      </c>
      <c r="E21" s="10" t="s">
        <v>449</v>
      </c>
      <c r="F21" s="5" t="s">
        <v>459</v>
      </c>
      <c r="G21" s="353" t="s">
        <v>491</v>
      </c>
      <c r="H21" s="231">
        <v>3225</v>
      </c>
      <c r="I21" s="7">
        <v>46030</v>
      </c>
      <c r="J21" s="221" t="s">
        <v>91</v>
      </c>
      <c r="K21" s="218" t="s">
        <v>76</v>
      </c>
      <c r="L21" s="219">
        <v>46003</v>
      </c>
      <c r="M21" s="218" t="str">
        <f>IF(Tabela4[[#This Row],[RECOMPRADO]]="RECEBIDO","LIQUIDADO",IF(O21="LIQUIDADO","LIQUIDADO",IF(I21&lt;$I$5,"VENCIDO","A VENCER")))</f>
        <v>LIQUIDADO</v>
      </c>
      <c r="N21" s="222" t="str">
        <f>IF(Tabela4[[#This Row],[STATUS]]="LIQUIDADO","",Tabela4[[#This Row],[VCTO]]-$I$5)</f>
        <v/>
      </c>
      <c r="O21" s="218" t="s">
        <v>86</v>
      </c>
      <c r="P21" s="219"/>
      <c r="Q21" s="218"/>
      <c r="R21" s="218"/>
      <c r="S21" s="218"/>
      <c r="T21" s="218"/>
      <c r="U21" s="218"/>
      <c r="V21" s="5"/>
    </row>
    <row r="22" spans="1:22">
      <c r="A22" s="218" t="s">
        <v>7</v>
      </c>
      <c r="B22" s="219">
        <v>45978</v>
      </c>
      <c r="C22" s="6" t="s">
        <v>41</v>
      </c>
      <c r="D22" s="218" t="s">
        <v>418</v>
      </c>
      <c r="E22" s="10" t="s">
        <v>450</v>
      </c>
      <c r="F22" s="6" t="s">
        <v>461</v>
      </c>
      <c r="G22" s="353" t="s">
        <v>493</v>
      </c>
      <c r="H22" s="231">
        <v>2242.5</v>
      </c>
      <c r="I22" s="221">
        <v>46031</v>
      </c>
      <c r="J22" s="221" t="s">
        <v>91</v>
      </c>
      <c r="K22" s="218" t="s">
        <v>76</v>
      </c>
      <c r="L22" s="219">
        <v>46003</v>
      </c>
      <c r="M22" s="218" t="str">
        <f>IF(Tabela4[[#This Row],[RECOMPRADO]]="RECEBIDO","LIQUIDADO",IF(O22="LIQUIDADO","LIQUIDADO",IF(I22&lt;$I$5,"VENCIDO","A VENCER")))</f>
        <v>LIQUIDADO</v>
      </c>
      <c r="N22" s="222" t="str">
        <f>IF(Tabela4[[#This Row],[STATUS]]="LIQUIDADO","",Tabela4[[#This Row],[VCTO]]-$I$5)</f>
        <v/>
      </c>
      <c r="O22" s="218" t="s">
        <v>86</v>
      </c>
      <c r="P22" s="219"/>
      <c r="Q22" s="218"/>
      <c r="R22" s="218"/>
      <c r="S22" s="218"/>
      <c r="T22" s="218"/>
      <c r="U22" s="218"/>
      <c r="V22" s="5"/>
    </row>
    <row r="23" spans="1:22">
      <c r="A23" s="218" t="s">
        <v>7</v>
      </c>
      <c r="B23" s="219">
        <v>45978</v>
      </c>
      <c r="C23" s="6" t="s">
        <v>41</v>
      </c>
      <c r="D23" s="5" t="s">
        <v>419</v>
      </c>
      <c r="E23" s="10" t="s">
        <v>450</v>
      </c>
      <c r="F23" s="5" t="s">
        <v>462</v>
      </c>
      <c r="G23" s="353" t="s">
        <v>528</v>
      </c>
      <c r="H23" s="231">
        <v>1751.25</v>
      </c>
      <c r="I23" s="7">
        <v>46031</v>
      </c>
      <c r="J23" s="221" t="s">
        <v>91</v>
      </c>
      <c r="K23" s="218" t="s">
        <v>76</v>
      </c>
      <c r="L23" s="219">
        <v>46003</v>
      </c>
      <c r="M23" s="218" t="str">
        <f>IF(Tabela4[[#This Row],[RECOMPRADO]]="RECEBIDO","LIQUIDADO",IF(O23="LIQUIDADO","LIQUIDADO",IF(I23&lt;$I$5,"VENCIDO","A VENCER")))</f>
        <v>LIQUIDADO</v>
      </c>
      <c r="N23" s="222" t="str">
        <f>IF(Tabela4[[#This Row],[STATUS]]="LIQUIDADO","",Tabela4[[#This Row],[VCTO]]-$I$5)</f>
        <v/>
      </c>
      <c r="O23" s="218" t="s">
        <v>86</v>
      </c>
      <c r="P23" s="219"/>
      <c r="Q23" s="218"/>
      <c r="R23" s="218"/>
      <c r="S23" s="218"/>
      <c r="T23" s="218"/>
      <c r="U23" s="218"/>
      <c r="V23" s="5"/>
    </row>
    <row r="24" spans="1:22">
      <c r="A24" s="218" t="s">
        <v>7</v>
      </c>
      <c r="B24" s="219">
        <v>45978</v>
      </c>
      <c r="C24" s="6" t="s">
        <v>41</v>
      </c>
      <c r="D24" s="218" t="s">
        <v>420</v>
      </c>
      <c r="E24" s="10" t="s">
        <v>445</v>
      </c>
      <c r="F24" s="6" t="s">
        <v>10</v>
      </c>
      <c r="G24" s="353" t="s">
        <v>71</v>
      </c>
      <c r="H24" s="231">
        <v>1880</v>
      </c>
      <c r="I24" s="221">
        <v>46034</v>
      </c>
      <c r="J24" s="221" t="s">
        <v>91</v>
      </c>
      <c r="K24" s="218" t="s">
        <v>76</v>
      </c>
      <c r="L24" s="219">
        <v>46003</v>
      </c>
      <c r="M24" s="218" t="str">
        <f>IF(Tabela4[[#This Row],[RECOMPRADO]]="RECEBIDO","LIQUIDADO",IF(O24="LIQUIDADO","LIQUIDADO",IF(I24&lt;$I$5,"VENCIDO","A VENCER")))</f>
        <v>LIQUIDADO</v>
      </c>
      <c r="N24" s="222" t="str">
        <f>IF(Tabela4[[#This Row],[STATUS]]="LIQUIDADO","",Tabela4[[#This Row],[VCTO]]-$I$5)</f>
        <v/>
      </c>
      <c r="O24" s="218" t="s">
        <v>86</v>
      </c>
      <c r="P24" s="219"/>
      <c r="Q24" s="218"/>
      <c r="R24" s="218"/>
      <c r="S24" s="218"/>
      <c r="T24" s="218"/>
      <c r="U24" s="218"/>
      <c r="V24" s="5"/>
    </row>
    <row r="25" spans="1:22">
      <c r="A25" s="218" t="s">
        <v>7</v>
      </c>
      <c r="B25" s="219">
        <v>45978</v>
      </c>
      <c r="C25" s="6" t="s">
        <v>41</v>
      </c>
      <c r="D25" s="5" t="s">
        <v>421</v>
      </c>
      <c r="E25" s="10" t="s">
        <v>445</v>
      </c>
      <c r="F25" s="5" t="s">
        <v>463</v>
      </c>
      <c r="G25" s="353" t="s">
        <v>529</v>
      </c>
      <c r="H25" s="231">
        <v>1064</v>
      </c>
      <c r="I25" s="7">
        <v>46034</v>
      </c>
      <c r="J25" s="221" t="s">
        <v>91</v>
      </c>
      <c r="K25" s="218" t="s">
        <v>76</v>
      </c>
      <c r="L25" s="219">
        <v>46003</v>
      </c>
      <c r="M25" s="218" t="str">
        <f>IF(Tabela4[[#This Row],[RECOMPRADO]]="RECEBIDO","LIQUIDADO",IF(O25="LIQUIDADO","LIQUIDADO",IF(I25&lt;$I$5,"VENCIDO","A VENCER")))</f>
        <v>LIQUIDADO</v>
      </c>
      <c r="N25" s="222" t="str">
        <f>IF(Tabela4[[#This Row],[STATUS]]="LIQUIDADO","",Tabela4[[#This Row],[VCTO]]-$I$5)</f>
        <v/>
      </c>
      <c r="O25" s="218" t="s">
        <v>86</v>
      </c>
      <c r="P25" s="219"/>
      <c r="Q25" s="218"/>
      <c r="R25" s="218"/>
      <c r="S25" s="218"/>
      <c r="T25" s="218"/>
      <c r="U25" s="218"/>
      <c r="V25" s="5"/>
    </row>
    <row r="26" spans="1:22">
      <c r="A26" s="218" t="s">
        <v>0</v>
      </c>
      <c r="B26" s="219">
        <v>45978</v>
      </c>
      <c r="C26" s="6" t="s">
        <v>41</v>
      </c>
      <c r="D26" s="218" t="s">
        <v>414</v>
      </c>
      <c r="E26" s="10" t="s">
        <v>442</v>
      </c>
      <c r="F26" s="6" t="s">
        <v>21</v>
      </c>
      <c r="G26" s="353" t="s">
        <v>54</v>
      </c>
      <c r="H26" s="231">
        <v>10432.620000000001</v>
      </c>
      <c r="I26" s="221">
        <v>46039</v>
      </c>
      <c r="J26" s="221" t="s">
        <v>91</v>
      </c>
      <c r="K26" s="218" t="s">
        <v>76</v>
      </c>
      <c r="L26" s="219">
        <v>46003</v>
      </c>
      <c r="M26" s="218" t="str">
        <f>IF(Tabela4[[#This Row],[RECOMPRADO]]="RECEBIDO","LIQUIDADO",IF(O26="LIQUIDADO","LIQUIDADO",IF(I26&lt;$I$5,"VENCIDO","A VENCER")))</f>
        <v>LIQUIDADO</v>
      </c>
      <c r="N26" s="222" t="str">
        <f>IF(Tabela4[[#This Row],[STATUS]]="LIQUIDADO","",Tabela4[[#This Row],[VCTO]]-$I$5)</f>
        <v/>
      </c>
      <c r="O26" s="218" t="s">
        <v>86</v>
      </c>
      <c r="P26" s="219"/>
      <c r="Q26" s="218"/>
      <c r="R26" s="218"/>
      <c r="S26" s="218"/>
      <c r="T26" s="218"/>
      <c r="U26" s="218"/>
      <c r="V26" s="5"/>
    </row>
    <row r="27" spans="1:22">
      <c r="A27" s="218" t="s">
        <v>0</v>
      </c>
      <c r="B27" s="219">
        <v>45978</v>
      </c>
      <c r="C27" s="6" t="s">
        <v>41</v>
      </c>
      <c r="D27" s="5" t="s">
        <v>417</v>
      </c>
      <c r="E27" s="10" t="s">
        <v>445</v>
      </c>
      <c r="F27" s="5" t="s">
        <v>460</v>
      </c>
      <c r="G27" s="353" t="s">
        <v>492</v>
      </c>
      <c r="H27" s="231">
        <v>1854</v>
      </c>
      <c r="I27" s="7">
        <v>46038</v>
      </c>
      <c r="J27" s="221" t="s">
        <v>91</v>
      </c>
      <c r="K27" s="218" t="s">
        <v>76</v>
      </c>
      <c r="L27" s="219">
        <v>46003</v>
      </c>
      <c r="M27" s="218" t="str">
        <f>IF(Tabela4[[#This Row],[RECOMPRADO]]="RECEBIDO","LIQUIDADO",IF(O27="LIQUIDADO","LIQUIDADO",IF(I27&lt;$I$5,"VENCIDO","A VENCER")))</f>
        <v>LIQUIDADO</v>
      </c>
      <c r="N27" s="222" t="str">
        <f>IF(Tabela4[[#This Row],[STATUS]]="LIQUIDADO","",Tabela4[[#This Row],[VCTO]]-$I$5)</f>
        <v/>
      </c>
      <c r="O27" s="218" t="s">
        <v>86</v>
      </c>
      <c r="P27" s="219"/>
      <c r="Q27" s="218"/>
      <c r="R27" s="218"/>
      <c r="S27" s="218"/>
      <c r="T27" s="218"/>
      <c r="U27" s="218"/>
      <c r="V27" s="5"/>
    </row>
    <row r="28" spans="1:22">
      <c r="A28" s="218" t="s">
        <v>0</v>
      </c>
      <c r="B28" s="219">
        <v>45980</v>
      </c>
      <c r="C28" s="6" t="s">
        <v>41</v>
      </c>
      <c r="D28" s="218">
        <v>194</v>
      </c>
      <c r="E28" s="10" t="s">
        <v>442</v>
      </c>
      <c r="F28" s="6" t="s">
        <v>301</v>
      </c>
      <c r="G28" s="353" t="s">
        <v>360</v>
      </c>
      <c r="H28" s="231">
        <v>2006.75</v>
      </c>
      <c r="I28" s="221">
        <v>46042</v>
      </c>
      <c r="J28" s="221" t="s">
        <v>91</v>
      </c>
      <c r="K28" s="218" t="s">
        <v>77</v>
      </c>
      <c r="L28" s="219">
        <v>46025</v>
      </c>
      <c r="M28" s="218" t="str">
        <f>IF(Tabela4[[#This Row],[RECOMPRADO]]="RECEBIDO","LIQUIDADO",IF(O28="LIQUIDADO","LIQUIDADO",IF(I28&lt;$I$5,"VENCIDO","A VENCER")))</f>
        <v>LIQUIDADO</v>
      </c>
      <c r="N28" s="222" t="str">
        <f>IF(Tabela4[[#This Row],[STATUS]]="LIQUIDADO","",Tabela4[[#This Row],[VCTO]]-$I$5)</f>
        <v/>
      </c>
      <c r="O28" s="218" t="s">
        <v>86</v>
      </c>
      <c r="P28" s="219"/>
      <c r="Q28" s="218"/>
      <c r="R28" s="218"/>
      <c r="S28" s="218"/>
      <c r="T28" s="218"/>
      <c r="U28" s="218"/>
      <c r="V28" s="5"/>
    </row>
    <row r="29" spans="1:22">
      <c r="A29" s="218" t="s">
        <v>0</v>
      </c>
      <c r="B29" s="219">
        <v>45980</v>
      </c>
      <c r="C29" s="6" t="s">
        <v>41</v>
      </c>
      <c r="D29" s="5" t="s">
        <v>422</v>
      </c>
      <c r="E29" s="10" t="s">
        <v>441</v>
      </c>
      <c r="F29" s="5" t="s">
        <v>301</v>
      </c>
      <c r="G29" s="353" t="s">
        <v>360</v>
      </c>
      <c r="H29" s="231">
        <v>2006.75</v>
      </c>
      <c r="I29" s="7">
        <v>46072</v>
      </c>
      <c r="J29" s="221" t="s">
        <v>91</v>
      </c>
      <c r="K29" s="218" t="s">
        <v>77</v>
      </c>
      <c r="L29" s="219">
        <v>46025</v>
      </c>
      <c r="M29" s="218" t="str">
        <f>IF(Tabela4[[#This Row],[RECOMPRADO]]="RECEBIDO","LIQUIDADO",IF(O29="LIQUIDADO","LIQUIDADO",IF(I29&lt;$I$5,"VENCIDO","A VENCER")))</f>
        <v>LIQUIDADO</v>
      </c>
      <c r="N29" s="222" t="str">
        <f>IF(Tabela4[[#This Row],[STATUS]]="LIQUIDADO","",Tabela4[[#This Row],[VCTO]]-$I$5)</f>
        <v/>
      </c>
      <c r="O29" s="218" t="s">
        <v>86</v>
      </c>
      <c r="P29" s="219"/>
      <c r="Q29" s="218"/>
      <c r="R29" s="218"/>
      <c r="S29" s="218"/>
      <c r="T29" s="218"/>
      <c r="U29" s="218"/>
      <c r="V29" s="5"/>
    </row>
    <row r="30" spans="1:22">
      <c r="A30" s="218" t="s">
        <v>0</v>
      </c>
      <c r="B30" s="219">
        <v>45980</v>
      </c>
      <c r="C30" s="6" t="s">
        <v>43</v>
      </c>
      <c r="D30" s="218" t="s">
        <v>422</v>
      </c>
      <c r="E30" s="10" t="s">
        <v>442</v>
      </c>
      <c r="F30" s="6" t="s">
        <v>301</v>
      </c>
      <c r="G30" s="353" t="s">
        <v>360</v>
      </c>
      <c r="H30" s="231">
        <v>2006.75</v>
      </c>
      <c r="I30" s="221">
        <v>46042</v>
      </c>
      <c r="J30" s="221" t="s">
        <v>91</v>
      </c>
      <c r="K30" s="218" t="s">
        <v>77</v>
      </c>
      <c r="L30" s="219">
        <v>46025</v>
      </c>
      <c r="M30" s="218" t="str">
        <f>IF(Tabela4[[#This Row],[RECOMPRADO]]="RECEBIDO","LIQUIDADO",IF(O30="LIQUIDADO","LIQUIDADO",IF(I30&lt;$I$5,"VENCIDO","A VENCER")))</f>
        <v>LIQUIDADO</v>
      </c>
      <c r="N30" s="222" t="str">
        <f>IF(Tabela4[[#This Row],[STATUS]]="LIQUIDADO","",Tabela4[[#This Row],[VCTO]]-$I$5)</f>
        <v/>
      </c>
      <c r="O30" s="218" t="s">
        <v>86</v>
      </c>
      <c r="P30" s="219"/>
      <c r="Q30" s="218"/>
      <c r="R30" s="218"/>
      <c r="S30" s="218"/>
      <c r="T30" s="218"/>
      <c r="U30" s="218"/>
      <c r="V30" s="5"/>
    </row>
    <row r="31" spans="1:22">
      <c r="A31" s="218" t="s">
        <v>0</v>
      </c>
      <c r="B31" s="219">
        <v>45980</v>
      </c>
      <c r="C31" s="6" t="s">
        <v>43</v>
      </c>
      <c r="D31" s="5" t="s">
        <v>422</v>
      </c>
      <c r="E31" s="10" t="s">
        <v>441</v>
      </c>
      <c r="F31" s="5" t="s">
        <v>301</v>
      </c>
      <c r="G31" s="353" t="s">
        <v>360</v>
      </c>
      <c r="H31" s="231">
        <v>2006.75</v>
      </c>
      <c r="I31" s="7">
        <v>46072</v>
      </c>
      <c r="J31" s="221" t="s">
        <v>91</v>
      </c>
      <c r="K31" s="218" t="s">
        <v>77</v>
      </c>
      <c r="L31" s="219">
        <v>46025</v>
      </c>
      <c r="M31" s="218" t="str">
        <f>IF(Tabela4[[#This Row],[RECOMPRADO]]="RECEBIDO","LIQUIDADO",IF(O31="LIQUIDADO","LIQUIDADO",IF(I31&lt;$I$5,"VENCIDO","A VENCER")))</f>
        <v>LIQUIDADO</v>
      </c>
      <c r="N31" s="222" t="str">
        <f>IF(Tabela4[[#This Row],[STATUS]]="LIQUIDADO","",Tabela4[[#This Row],[VCTO]]-$I$5)</f>
        <v/>
      </c>
      <c r="O31" s="218" t="s">
        <v>86</v>
      </c>
      <c r="P31" s="219"/>
      <c r="Q31" s="218"/>
      <c r="R31" s="218"/>
      <c r="S31" s="218"/>
      <c r="T31" s="218"/>
      <c r="U31" s="218"/>
      <c r="V31" s="5"/>
    </row>
    <row r="32" spans="1:22">
      <c r="A32" s="218" t="s">
        <v>7</v>
      </c>
      <c r="B32" s="219">
        <v>45980</v>
      </c>
      <c r="C32" s="6" t="s">
        <v>41</v>
      </c>
      <c r="D32" s="5" t="s">
        <v>423</v>
      </c>
      <c r="E32" s="10" t="s">
        <v>441</v>
      </c>
      <c r="F32" s="5" t="s">
        <v>337</v>
      </c>
      <c r="G32" s="353" t="s">
        <v>373</v>
      </c>
      <c r="H32" s="231">
        <v>3444</v>
      </c>
      <c r="I32" s="7">
        <v>46042</v>
      </c>
      <c r="J32" s="221" t="s">
        <v>91</v>
      </c>
      <c r="K32" s="218" t="s">
        <v>76</v>
      </c>
      <c r="L32" s="219">
        <v>46003</v>
      </c>
      <c r="M32" s="218" t="str">
        <f>IF(Tabela4[[#This Row],[RECOMPRADO]]="RECEBIDO","LIQUIDADO",IF(O32="LIQUIDADO","LIQUIDADO",IF(I32&lt;$I$5,"VENCIDO","A VENCER")))</f>
        <v>LIQUIDADO</v>
      </c>
      <c r="N32" s="222" t="str">
        <f>IF(Tabela4[[#This Row],[STATUS]]="LIQUIDADO","",Tabela4[[#This Row],[VCTO]]-$I$5)</f>
        <v/>
      </c>
      <c r="O32" s="218" t="s">
        <v>86</v>
      </c>
      <c r="P32" s="219"/>
      <c r="Q32" s="218"/>
      <c r="R32" s="218"/>
      <c r="S32" s="218"/>
      <c r="T32" s="218"/>
      <c r="U32" s="218"/>
      <c r="V32" s="5"/>
    </row>
    <row r="33" spans="1:22">
      <c r="A33" s="218" t="s">
        <v>7</v>
      </c>
      <c r="B33" s="219">
        <v>45980</v>
      </c>
      <c r="C33" s="6" t="s">
        <v>41</v>
      </c>
      <c r="D33" s="218" t="s">
        <v>424</v>
      </c>
      <c r="E33" s="10" t="s">
        <v>446</v>
      </c>
      <c r="F33" s="6" t="s">
        <v>114</v>
      </c>
      <c r="G33" s="353" t="s">
        <v>141</v>
      </c>
      <c r="H33" s="231">
        <v>4151.6000000000004</v>
      </c>
      <c r="I33" s="221">
        <v>46066</v>
      </c>
      <c r="J33" s="221" t="s">
        <v>91</v>
      </c>
      <c r="K33" s="218" t="s">
        <v>76</v>
      </c>
      <c r="L33" s="219">
        <v>46003</v>
      </c>
      <c r="M33" s="218" t="str">
        <f>IF(Tabela4[[#This Row],[RECOMPRADO]]="RECEBIDO","LIQUIDADO",IF(O33="LIQUIDADO","LIQUIDADO",IF(I33&lt;$I$5,"VENCIDO","A VENCER")))</f>
        <v>LIQUIDADO</v>
      </c>
      <c r="N33" s="222" t="str">
        <f>IF(Tabela4[[#This Row],[STATUS]]="LIQUIDADO","",Tabela4[[#This Row],[VCTO]]-$I$5)</f>
        <v/>
      </c>
      <c r="O33" s="218" t="s">
        <v>86</v>
      </c>
      <c r="P33" s="219"/>
      <c r="Q33" s="218"/>
      <c r="R33" s="218"/>
      <c r="S33" s="218"/>
      <c r="T33" s="5" t="s">
        <v>486</v>
      </c>
      <c r="U33" s="5"/>
      <c r="V33" s="5"/>
    </row>
    <row r="34" spans="1:22">
      <c r="A34" s="5" t="s">
        <v>7</v>
      </c>
      <c r="B34" s="6">
        <v>45980</v>
      </c>
      <c r="C34" s="6" t="s">
        <v>41</v>
      </c>
      <c r="D34" s="5">
        <v>4260</v>
      </c>
      <c r="E34" s="10" t="s">
        <v>92</v>
      </c>
      <c r="F34" s="5" t="s">
        <v>113</v>
      </c>
      <c r="G34" s="314" t="s">
        <v>140</v>
      </c>
      <c r="H34" s="38">
        <v>5875</v>
      </c>
      <c r="I34" s="7">
        <v>46012</v>
      </c>
      <c r="J34" s="7" t="s">
        <v>90</v>
      </c>
      <c r="K34" s="5" t="s">
        <v>0</v>
      </c>
      <c r="L34" s="6">
        <v>46052</v>
      </c>
      <c r="M34" s="5" t="str">
        <f ca="1">IF(Tabela4[[#This Row],[RECOMPRADO]]="RECEBIDO","LIQUIDADO",IF(O34="LIQUIDADO","LIQUIDADO",IF(I34&lt;$I$5,"VENCIDO","A VENCER")))</f>
        <v>VENCIDO</v>
      </c>
      <c r="N34" s="211">
        <f ca="1">IF(Tabela4[[#This Row],[STATUS]]="LIQUIDADO","",Tabela4[[#This Row],[VCTO]]-$I$5)</f>
        <v>-86</v>
      </c>
      <c r="O34" s="5" t="s">
        <v>87</v>
      </c>
      <c r="P34" s="6">
        <v>46052</v>
      </c>
      <c r="Q34" s="5"/>
      <c r="R34" s="5"/>
      <c r="S34" s="5" t="s">
        <v>151</v>
      </c>
      <c r="T34" s="5" t="s">
        <v>581</v>
      </c>
      <c r="U34" s="5"/>
      <c r="V34" s="5"/>
    </row>
    <row r="35" spans="1:22">
      <c r="A35" s="5" t="s">
        <v>7</v>
      </c>
      <c r="B35" s="6">
        <v>45980</v>
      </c>
      <c r="C35" s="6" t="s">
        <v>41</v>
      </c>
      <c r="D35" s="5">
        <v>4260</v>
      </c>
      <c r="E35" s="10" t="s">
        <v>95</v>
      </c>
      <c r="F35" s="5" t="s">
        <v>113</v>
      </c>
      <c r="G35" s="314" t="s">
        <v>140</v>
      </c>
      <c r="H35" s="38">
        <v>5875</v>
      </c>
      <c r="I35" s="7">
        <v>46027</v>
      </c>
      <c r="J35" s="7" t="s">
        <v>90</v>
      </c>
      <c r="K35" s="5" t="s">
        <v>0</v>
      </c>
      <c r="L35" s="6">
        <v>46052</v>
      </c>
      <c r="M35" s="5" t="str">
        <f ca="1">IF(Tabela4[[#This Row],[RECOMPRADO]]="RECEBIDO","LIQUIDADO",IF(O35="LIQUIDADO","LIQUIDADO",IF(I35&lt;$I$5,"VENCIDO","A VENCER")))</f>
        <v>VENCIDO</v>
      </c>
      <c r="N35" s="211">
        <f ca="1">IF(Tabela4[[#This Row],[STATUS]]="LIQUIDADO","",Tabela4[[#This Row],[VCTO]]-$I$5)</f>
        <v>-71</v>
      </c>
      <c r="O35" s="5" t="s">
        <v>87</v>
      </c>
      <c r="P35" s="6">
        <v>46052</v>
      </c>
      <c r="Q35" s="5"/>
      <c r="R35" s="5"/>
      <c r="S35" s="5" t="s">
        <v>151</v>
      </c>
      <c r="T35" s="5" t="s">
        <v>581</v>
      </c>
      <c r="U35" s="5"/>
      <c r="V35" s="5"/>
    </row>
    <row r="36" spans="1:22">
      <c r="A36" s="5" t="s">
        <v>7</v>
      </c>
      <c r="B36" s="6">
        <v>45980</v>
      </c>
      <c r="C36" s="6" t="s">
        <v>41</v>
      </c>
      <c r="D36" s="5">
        <v>4260</v>
      </c>
      <c r="E36" s="10" t="s">
        <v>96</v>
      </c>
      <c r="F36" s="5" t="s">
        <v>113</v>
      </c>
      <c r="G36" s="314" t="s">
        <v>140</v>
      </c>
      <c r="H36" s="38">
        <v>5875</v>
      </c>
      <c r="I36" s="7">
        <v>46042</v>
      </c>
      <c r="J36" s="7" t="s">
        <v>90</v>
      </c>
      <c r="K36" s="5" t="s">
        <v>0</v>
      </c>
      <c r="L36" s="6">
        <v>46052</v>
      </c>
      <c r="M36" s="5" t="str">
        <f ca="1">IF(Tabela4[[#This Row],[RECOMPRADO]]="RECEBIDO","LIQUIDADO",IF(O36="LIQUIDADO","LIQUIDADO",IF(I36&lt;$I$5,"VENCIDO","A VENCER")))</f>
        <v>VENCIDO</v>
      </c>
      <c r="N36" s="211">
        <f ca="1">IF(Tabela4[[#This Row],[STATUS]]="LIQUIDADO","",Tabela4[[#This Row],[VCTO]]-$I$5)</f>
        <v>-56</v>
      </c>
      <c r="O36" s="5" t="s">
        <v>87</v>
      </c>
      <c r="P36" s="6">
        <v>46052</v>
      </c>
      <c r="Q36" s="5"/>
      <c r="R36" s="5"/>
      <c r="S36" s="5" t="s">
        <v>151</v>
      </c>
      <c r="T36" s="5" t="s">
        <v>581</v>
      </c>
      <c r="U36" s="5"/>
      <c r="V36" s="5"/>
    </row>
    <row r="37" spans="1:22">
      <c r="A37" s="218" t="s">
        <v>7</v>
      </c>
      <c r="B37" s="219">
        <v>45985</v>
      </c>
      <c r="C37" s="6" t="s">
        <v>41</v>
      </c>
      <c r="D37" s="5" t="s">
        <v>425</v>
      </c>
      <c r="E37" s="10" t="s">
        <v>445</v>
      </c>
      <c r="F37" s="5" t="s">
        <v>35</v>
      </c>
      <c r="G37" s="353" t="s">
        <v>68</v>
      </c>
      <c r="H37" s="231">
        <v>2028</v>
      </c>
      <c r="I37" s="7">
        <v>46043</v>
      </c>
      <c r="J37" s="221" t="s">
        <v>91</v>
      </c>
      <c r="K37" s="218" t="s">
        <v>77</v>
      </c>
      <c r="L37" s="219">
        <v>46025</v>
      </c>
      <c r="M37" s="218" t="str">
        <f>IF(Tabela4[[#This Row],[RECOMPRADO]]="RECEBIDO","LIQUIDADO",IF(O37="LIQUIDADO","LIQUIDADO",IF(I37&lt;$I$5,"VENCIDO","A VENCER")))</f>
        <v>LIQUIDADO</v>
      </c>
      <c r="N37" s="222" t="str">
        <f>IF(Tabela4[[#This Row],[STATUS]]="LIQUIDADO","",Tabela4[[#This Row],[VCTO]]-$I$5)</f>
        <v/>
      </c>
      <c r="O37" s="218" t="s">
        <v>86</v>
      </c>
      <c r="P37" s="219"/>
      <c r="Q37" s="218"/>
      <c r="R37" s="218"/>
      <c r="S37" s="218"/>
      <c r="T37" s="218"/>
      <c r="U37" s="218"/>
      <c r="V37" s="5"/>
    </row>
    <row r="38" spans="1:22">
      <c r="A38" s="218" t="s">
        <v>7</v>
      </c>
      <c r="B38" s="219">
        <v>45985</v>
      </c>
      <c r="C38" s="6" t="s">
        <v>41</v>
      </c>
      <c r="D38" s="218" t="s">
        <v>425</v>
      </c>
      <c r="E38" s="10" t="s">
        <v>451</v>
      </c>
      <c r="F38" s="6" t="s">
        <v>35</v>
      </c>
      <c r="G38" s="354" t="s">
        <v>68</v>
      </c>
      <c r="H38" s="231">
        <v>2028</v>
      </c>
      <c r="I38" s="221">
        <v>46029</v>
      </c>
      <c r="J38" s="221" t="s">
        <v>91</v>
      </c>
      <c r="K38" s="218" t="s">
        <v>77</v>
      </c>
      <c r="L38" s="219">
        <v>46025</v>
      </c>
      <c r="M38" s="218" t="str">
        <f>IF(Tabela4[[#This Row],[RECOMPRADO]]="RECEBIDO","LIQUIDADO",IF(O38="LIQUIDADO","LIQUIDADO",IF(I38&lt;$I$5,"VENCIDO","A VENCER")))</f>
        <v>LIQUIDADO</v>
      </c>
      <c r="N38" s="222" t="str">
        <f>IF(Tabela4[[#This Row],[STATUS]]="LIQUIDADO","",Tabela4[[#This Row],[VCTO]]-$I$5)</f>
        <v/>
      </c>
      <c r="O38" s="218" t="s">
        <v>86</v>
      </c>
      <c r="P38" s="219"/>
      <c r="Q38" s="218"/>
      <c r="R38" s="218"/>
      <c r="S38" s="218"/>
      <c r="T38" s="218"/>
      <c r="U38" s="218"/>
      <c r="V38" s="5"/>
    </row>
    <row r="39" spans="1:22">
      <c r="A39" s="218" t="s">
        <v>7</v>
      </c>
      <c r="B39" s="219">
        <v>45985</v>
      </c>
      <c r="C39" s="6" t="s">
        <v>41</v>
      </c>
      <c r="D39" s="5" t="s">
        <v>425</v>
      </c>
      <c r="E39" s="10" t="s">
        <v>447</v>
      </c>
      <c r="F39" s="5" t="s">
        <v>35</v>
      </c>
      <c r="G39" s="354" t="s">
        <v>68</v>
      </c>
      <c r="H39" s="231">
        <v>2028</v>
      </c>
      <c r="I39" s="7">
        <v>46036</v>
      </c>
      <c r="J39" s="221" t="s">
        <v>91</v>
      </c>
      <c r="K39" s="218" t="s">
        <v>77</v>
      </c>
      <c r="L39" s="219">
        <v>46025</v>
      </c>
      <c r="M39" s="218" t="str">
        <f>IF(Tabela4[[#This Row],[RECOMPRADO]]="RECEBIDO","LIQUIDADO",IF(O39="LIQUIDADO","LIQUIDADO",IF(I39&lt;$I$5,"VENCIDO","A VENCER")))</f>
        <v>LIQUIDADO</v>
      </c>
      <c r="N39" s="222" t="str">
        <f>IF(Tabela4[[#This Row],[STATUS]]="LIQUIDADO","",Tabela4[[#This Row],[VCTO]]-$I$5)</f>
        <v/>
      </c>
      <c r="O39" s="218" t="s">
        <v>86</v>
      </c>
      <c r="P39" s="219"/>
      <c r="Q39" s="218"/>
      <c r="R39" s="218"/>
      <c r="S39" s="218"/>
      <c r="T39" s="218"/>
      <c r="U39" s="218"/>
      <c r="V39" s="5"/>
    </row>
    <row r="40" spans="1:22">
      <c r="A40" s="218" t="s">
        <v>7</v>
      </c>
      <c r="B40" s="219">
        <v>45986</v>
      </c>
      <c r="C40" s="6" t="s">
        <v>41</v>
      </c>
      <c r="D40" s="218" t="s">
        <v>426</v>
      </c>
      <c r="E40" s="10" t="s">
        <v>445</v>
      </c>
      <c r="F40" s="6" t="s">
        <v>464</v>
      </c>
      <c r="G40" s="353" t="s">
        <v>483</v>
      </c>
      <c r="H40" s="231">
        <v>4152</v>
      </c>
      <c r="I40" s="221">
        <v>46044</v>
      </c>
      <c r="J40" s="221" t="s">
        <v>91</v>
      </c>
      <c r="K40" s="218" t="s">
        <v>75</v>
      </c>
      <c r="L40" s="219">
        <v>46003</v>
      </c>
      <c r="M40" s="218" t="str">
        <f>IF(Tabela4[[#This Row],[RECOMPRADO]]="RECEBIDO","LIQUIDADO",IF(O40="LIQUIDADO","LIQUIDADO",IF(I40&lt;$I$5,"VENCIDO","A VENCER")))</f>
        <v>LIQUIDADO</v>
      </c>
      <c r="N40" s="222" t="str">
        <f>IF(Tabela4[[#This Row],[STATUS]]="LIQUIDADO","",Tabela4[[#This Row],[VCTO]]-$I$5)</f>
        <v/>
      </c>
      <c r="O40" s="218" t="s">
        <v>86</v>
      </c>
      <c r="P40" s="219"/>
      <c r="Q40" s="218"/>
      <c r="R40" s="218"/>
      <c r="S40" s="218"/>
      <c r="T40" s="218"/>
      <c r="U40" s="218"/>
      <c r="V40" s="5"/>
    </row>
    <row r="41" spans="1:22">
      <c r="A41" s="218" t="s">
        <v>0</v>
      </c>
      <c r="B41" s="219">
        <v>45986</v>
      </c>
      <c r="C41" s="6" t="s">
        <v>41</v>
      </c>
      <c r="D41" s="5" t="s">
        <v>427</v>
      </c>
      <c r="E41" s="10" t="s">
        <v>452</v>
      </c>
      <c r="F41" s="5" t="s">
        <v>2</v>
      </c>
      <c r="G41" s="225" t="s">
        <v>48</v>
      </c>
      <c r="H41" s="231">
        <v>1312.5</v>
      </c>
      <c r="I41" s="7">
        <v>46030</v>
      </c>
      <c r="J41" s="221" t="s">
        <v>91</v>
      </c>
      <c r="K41" s="218" t="s">
        <v>77</v>
      </c>
      <c r="L41" s="219">
        <v>46025</v>
      </c>
      <c r="M41" s="218" t="str">
        <f>IF(Tabela4[[#This Row],[RECOMPRADO]]="RECEBIDO","LIQUIDADO",IF(O41="LIQUIDADO","LIQUIDADO",IF(I41&lt;$I$5,"VENCIDO","A VENCER")))</f>
        <v>LIQUIDADO</v>
      </c>
      <c r="N41" s="222" t="str">
        <f>IF(Tabela4[[#This Row],[STATUS]]="LIQUIDADO","",Tabela4[[#This Row],[VCTO]]-$I$5)</f>
        <v/>
      </c>
      <c r="O41" s="218" t="s">
        <v>86</v>
      </c>
      <c r="P41" s="219"/>
      <c r="Q41" s="218"/>
      <c r="R41" s="218"/>
      <c r="S41" s="218"/>
      <c r="T41" s="218"/>
      <c r="U41" s="218"/>
      <c r="V41" s="5"/>
    </row>
    <row r="42" spans="1:22">
      <c r="A42" s="218" t="s">
        <v>0</v>
      </c>
      <c r="B42" s="219">
        <v>45986</v>
      </c>
      <c r="C42" s="6" t="s">
        <v>43</v>
      </c>
      <c r="D42" s="218" t="s">
        <v>427</v>
      </c>
      <c r="E42" s="10" t="s">
        <v>452</v>
      </c>
      <c r="F42" s="6" t="s">
        <v>2</v>
      </c>
      <c r="G42" s="225" t="s">
        <v>48</v>
      </c>
      <c r="H42" s="231">
        <v>1312.5</v>
      </c>
      <c r="I42" s="221">
        <v>46030</v>
      </c>
      <c r="J42" s="221" t="s">
        <v>91</v>
      </c>
      <c r="K42" s="218" t="s">
        <v>77</v>
      </c>
      <c r="L42" s="219">
        <v>46025</v>
      </c>
      <c r="M42" s="218" t="str">
        <f>IF(Tabela4[[#This Row],[RECOMPRADO]]="RECEBIDO","LIQUIDADO",IF(O42="LIQUIDADO","LIQUIDADO",IF(I42&lt;$I$5,"VENCIDO","A VENCER")))</f>
        <v>LIQUIDADO</v>
      </c>
      <c r="N42" s="222" t="str">
        <f>IF(Tabela4[[#This Row],[STATUS]]="LIQUIDADO","",Tabela4[[#This Row],[VCTO]]-$I$5)</f>
        <v/>
      </c>
      <c r="O42" s="218" t="s">
        <v>86</v>
      </c>
      <c r="P42" s="219"/>
      <c r="Q42" s="218"/>
      <c r="R42" s="218"/>
      <c r="S42" s="218"/>
      <c r="T42" s="218"/>
      <c r="U42" s="218"/>
      <c r="V42" s="5"/>
    </row>
    <row r="43" spans="1:22">
      <c r="A43" s="218" t="s">
        <v>7</v>
      </c>
      <c r="B43" s="219">
        <v>45986</v>
      </c>
      <c r="C43" s="6" t="s">
        <v>41</v>
      </c>
      <c r="D43" s="5" t="s">
        <v>426</v>
      </c>
      <c r="E43" s="10" t="s">
        <v>451</v>
      </c>
      <c r="F43" s="5" t="s">
        <v>464</v>
      </c>
      <c r="G43" s="354" t="s">
        <v>483</v>
      </c>
      <c r="H43" s="231">
        <v>4152</v>
      </c>
      <c r="I43" s="7">
        <v>46030</v>
      </c>
      <c r="J43" s="221" t="s">
        <v>91</v>
      </c>
      <c r="K43" s="218" t="s">
        <v>75</v>
      </c>
      <c r="L43" s="219">
        <v>46003</v>
      </c>
      <c r="M43" s="218" t="str">
        <f>IF(Tabela4[[#This Row],[RECOMPRADO]]="RECEBIDO","LIQUIDADO",IF(O43="LIQUIDADO","LIQUIDADO",IF(I43&lt;$I$5,"VENCIDO","A VENCER")))</f>
        <v>LIQUIDADO</v>
      </c>
      <c r="N43" s="222" t="str">
        <f>IF(Tabela4[[#This Row],[STATUS]]="LIQUIDADO","",Tabela4[[#This Row],[VCTO]]-$I$5)</f>
        <v/>
      </c>
      <c r="O43" s="218" t="s">
        <v>86</v>
      </c>
      <c r="P43" s="219"/>
      <c r="Q43" s="218"/>
      <c r="R43" s="218"/>
      <c r="S43" s="218"/>
      <c r="T43" s="218"/>
      <c r="U43" s="218"/>
      <c r="V43" s="5"/>
    </row>
    <row r="44" spans="1:22">
      <c r="A44" s="218" t="s">
        <v>108</v>
      </c>
      <c r="B44" s="219">
        <v>45986</v>
      </c>
      <c r="C44" s="6" t="s">
        <v>41</v>
      </c>
      <c r="D44" s="218" t="s">
        <v>428</v>
      </c>
      <c r="E44" s="10" t="s">
        <v>443</v>
      </c>
      <c r="F44" s="6" t="s">
        <v>465</v>
      </c>
      <c r="G44" s="225">
        <v>15511415000105</v>
      </c>
      <c r="H44" s="231">
        <v>1075</v>
      </c>
      <c r="I44" s="221">
        <v>46015</v>
      </c>
      <c r="J44" s="221" t="s">
        <v>91</v>
      </c>
      <c r="K44" s="218" t="s">
        <v>75</v>
      </c>
      <c r="L44" s="219">
        <v>46003</v>
      </c>
      <c r="M44" s="218" t="str">
        <f ca="1">IF(Tabela4[[#This Row],[RECOMPRADO]]="RECEBIDO","LIQUIDADO",IF(O44="LIQUIDADO","LIQUIDADO",IF(I44&lt;$I$5,"VENCIDO","A VENCER")))</f>
        <v>VENCIDO</v>
      </c>
      <c r="N44" s="222">
        <f ca="1">IF(Tabela4[[#This Row],[STATUS]]="LIQUIDADO","",Tabela4[[#This Row],[VCTO]]-$I$5)</f>
        <v>-83</v>
      </c>
      <c r="O44" s="218"/>
      <c r="P44" s="219"/>
      <c r="Q44" s="218"/>
      <c r="R44" s="218"/>
      <c r="S44" s="218" t="s">
        <v>151</v>
      </c>
      <c r="T44" s="5" t="s">
        <v>576</v>
      </c>
      <c r="U44" s="5"/>
      <c r="V44" s="5"/>
    </row>
    <row r="45" spans="1:22">
      <c r="A45" s="218" t="s">
        <v>108</v>
      </c>
      <c r="B45" s="219">
        <v>45986</v>
      </c>
      <c r="C45" s="6" t="s">
        <v>41</v>
      </c>
      <c r="D45" s="5" t="s">
        <v>428</v>
      </c>
      <c r="E45" s="10" t="s">
        <v>442</v>
      </c>
      <c r="F45" s="6" t="s">
        <v>465</v>
      </c>
      <c r="G45" s="225">
        <v>15511415000105</v>
      </c>
      <c r="H45" s="231">
        <v>1075</v>
      </c>
      <c r="I45" s="7">
        <v>46022</v>
      </c>
      <c r="J45" s="221" t="s">
        <v>91</v>
      </c>
      <c r="K45" s="218" t="s">
        <v>75</v>
      </c>
      <c r="L45" s="219">
        <v>46003</v>
      </c>
      <c r="M45" s="218" t="str">
        <f ca="1">IF(Tabela4[[#This Row],[RECOMPRADO]]="RECEBIDO","LIQUIDADO",IF(O45="LIQUIDADO","LIQUIDADO",IF(I45&lt;$I$5,"VENCIDO","A VENCER")))</f>
        <v>VENCIDO</v>
      </c>
      <c r="N45" s="222">
        <f ca="1">IF(Tabela4[[#This Row],[STATUS]]="LIQUIDADO","",Tabela4[[#This Row],[VCTO]]-$I$5)</f>
        <v>-76</v>
      </c>
      <c r="O45" s="218"/>
      <c r="P45" s="219"/>
      <c r="Q45" s="218"/>
      <c r="R45" s="218"/>
      <c r="S45" s="218" t="s">
        <v>151</v>
      </c>
      <c r="T45" s="5" t="s">
        <v>576</v>
      </c>
      <c r="U45" s="5"/>
      <c r="V45" s="5"/>
    </row>
    <row r="46" spans="1:22">
      <c r="A46" s="218" t="s">
        <v>108</v>
      </c>
      <c r="B46" s="219">
        <v>45986</v>
      </c>
      <c r="C46" s="6" t="s">
        <v>41</v>
      </c>
      <c r="D46" s="218" t="s">
        <v>428</v>
      </c>
      <c r="E46" s="10" t="s">
        <v>441</v>
      </c>
      <c r="F46" s="6" t="s">
        <v>465</v>
      </c>
      <c r="G46" s="315">
        <v>15511415000105</v>
      </c>
      <c r="H46" s="231">
        <v>1075</v>
      </c>
      <c r="I46" s="221">
        <v>46029</v>
      </c>
      <c r="J46" s="221" t="s">
        <v>91</v>
      </c>
      <c r="K46" s="218" t="s">
        <v>75</v>
      </c>
      <c r="L46" s="219">
        <v>46026</v>
      </c>
      <c r="M46" s="218" t="str">
        <f ca="1">IF(Tabela4[[#This Row],[RECOMPRADO]]="RECEBIDO","LIQUIDADO",IF(O46="LIQUIDADO","LIQUIDADO",IF(I46&lt;$I$5,"VENCIDO","A VENCER")))</f>
        <v>VENCIDO</v>
      </c>
      <c r="N46" s="222">
        <f ca="1">IF(Tabela4[[#This Row],[STATUS]]="LIQUIDADO","",Tabela4[[#This Row],[VCTO]]-$I$5)</f>
        <v>-69</v>
      </c>
      <c r="O46" s="218"/>
      <c r="P46" s="219"/>
      <c r="Q46" s="218"/>
      <c r="R46" s="218"/>
      <c r="S46" s="218" t="s">
        <v>151</v>
      </c>
      <c r="T46" s="5" t="s">
        <v>576</v>
      </c>
      <c r="U46" s="5"/>
      <c r="V46" s="5"/>
    </row>
    <row r="47" spans="1:22">
      <c r="A47" s="218" t="s">
        <v>0</v>
      </c>
      <c r="B47" s="219">
        <v>45986</v>
      </c>
      <c r="C47" s="6" t="s">
        <v>41</v>
      </c>
      <c r="D47" s="5" t="s">
        <v>427</v>
      </c>
      <c r="E47" s="10" t="s">
        <v>450</v>
      </c>
      <c r="F47" s="5" t="s">
        <v>2</v>
      </c>
      <c r="G47" s="225" t="s">
        <v>48</v>
      </c>
      <c r="H47" s="231">
        <v>1312.5</v>
      </c>
      <c r="I47" s="7">
        <v>46037</v>
      </c>
      <c r="J47" s="221" t="s">
        <v>91</v>
      </c>
      <c r="K47" s="218" t="s">
        <v>77</v>
      </c>
      <c r="L47" s="219">
        <v>46025</v>
      </c>
      <c r="M47" s="218" t="str">
        <f>IF(Tabela4[[#This Row],[RECOMPRADO]]="RECEBIDO","LIQUIDADO",IF(O47="LIQUIDADO","LIQUIDADO",IF(I47&lt;$I$5,"VENCIDO","A VENCER")))</f>
        <v>LIQUIDADO</v>
      </c>
      <c r="N47" s="222" t="str">
        <f>IF(Tabela4[[#This Row],[STATUS]]="LIQUIDADO","",Tabela4[[#This Row],[VCTO]]-$I$5)</f>
        <v/>
      </c>
      <c r="O47" s="218" t="s">
        <v>86</v>
      </c>
      <c r="P47" s="219"/>
      <c r="Q47" s="218"/>
      <c r="R47" s="218"/>
      <c r="S47" s="218"/>
      <c r="T47" s="218"/>
      <c r="U47" s="218"/>
      <c r="V47" s="5"/>
    </row>
    <row r="48" spans="1:22">
      <c r="A48" s="218" t="s">
        <v>0</v>
      </c>
      <c r="B48" s="219">
        <v>45986</v>
      </c>
      <c r="C48" s="6" t="s">
        <v>43</v>
      </c>
      <c r="D48" s="218" t="s">
        <v>427</v>
      </c>
      <c r="E48" s="10" t="s">
        <v>450</v>
      </c>
      <c r="F48" s="6" t="s">
        <v>2</v>
      </c>
      <c r="G48" s="225" t="s">
        <v>48</v>
      </c>
      <c r="H48" s="231">
        <v>1312.5</v>
      </c>
      <c r="I48" s="221">
        <v>46037</v>
      </c>
      <c r="J48" s="221" t="s">
        <v>91</v>
      </c>
      <c r="K48" s="218" t="s">
        <v>77</v>
      </c>
      <c r="L48" s="219">
        <v>46025</v>
      </c>
      <c r="M48" s="218" t="str">
        <f>IF(Tabela4[[#This Row],[RECOMPRADO]]="RECEBIDO","LIQUIDADO",IF(O48="LIQUIDADO","LIQUIDADO",IF(I48&lt;$I$5,"VENCIDO","A VENCER")))</f>
        <v>LIQUIDADO</v>
      </c>
      <c r="N48" s="222" t="str">
        <f>IF(Tabela4[[#This Row],[STATUS]]="LIQUIDADO","",Tabela4[[#This Row],[VCTO]]-$I$5)</f>
        <v/>
      </c>
      <c r="O48" s="218" t="s">
        <v>86</v>
      </c>
      <c r="P48" s="219"/>
      <c r="Q48" s="218"/>
      <c r="R48" s="218"/>
      <c r="S48" s="218"/>
      <c r="T48" s="218"/>
      <c r="U48" s="218"/>
      <c r="V48" s="5"/>
    </row>
    <row r="49" spans="1:22">
      <c r="A49" s="218" t="s">
        <v>7</v>
      </c>
      <c r="B49" s="219">
        <v>45986</v>
      </c>
      <c r="C49" s="6" t="s">
        <v>41</v>
      </c>
      <c r="D49" s="5" t="s">
        <v>426</v>
      </c>
      <c r="E49" s="10" t="s">
        <v>447</v>
      </c>
      <c r="F49" s="5" t="s">
        <v>464</v>
      </c>
      <c r="G49" s="354" t="s">
        <v>483</v>
      </c>
      <c r="H49" s="231">
        <v>4152</v>
      </c>
      <c r="I49" s="7">
        <v>46037</v>
      </c>
      <c r="J49" s="221" t="s">
        <v>91</v>
      </c>
      <c r="K49" s="218" t="s">
        <v>75</v>
      </c>
      <c r="L49" s="219">
        <v>46026</v>
      </c>
      <c r="M49" s="218" t="str">
        <f>IF(Tabela4[[#This Row],[RECOMPRADO]]="RECEBIDO","LIQUIDADO",IF(O49="LIQUIDADO","LIQUIDADO",IF(I49&lt;$I$5,"VENCIDO","A VENCER")))</f>
        <v>LIQUIDADO</v>
      </c>
      <c r="N49" s="222" t="str">
        <f>IF(Tabela4[[#This Row],[STATUS]]="LIQUIDADO","",Tabela4[[#This Row],[VCTO]]-$I$5)</f>
        <v/>
      </c>
      <c r="O49" s="218" t="s">
        <v>86</v>
      </c>
      <c r="P49" s="219"/>
      <c r="Q49" s="218"/>
      <c r="R49" s="218"/>
      <c r="S49" s="218"/>
      <c r="T49" s="218"/>
      <c r="U49" s="218"/>
      <c r="V49" s="5"/>
    </row>
    <row r="50" spans="1:22">
      <c r="A50" s="218" t="s">
        <v>108</v>
      </c>
      <c r="B50" s="219">
        <v>45988</v>
      </c>
      <c r="C50" s="6" t="s">
        <v>41</v>
      </c>
      <c r="D50" s="218" t="s">
        <v>429</v>
      </c>
      <c r="E50" s="10" t="s">
        <v>441</v>
      </c>
      <c r="F50" s="6" t="s">
        <v>25</v>
      </c>
      <c r="G50" s="315" t="s">
        <v>63</v>
      </c>
      <c r="H50" s="231">
        <v>2058</v>
      </c>
      <c r="I50" s="221">
        <v>46030</v>
      </c>
      <c r="J50" s="221" t="s">
        <v>91</v>
      </c>
      <c r="K50" s="218" t="s">
        <v>77</v>
      </c>
      <c r="L50" s="219">
        <v>46025</v>
      </c>
      <c r="M50" s="218" t="str">
        <f>IF(Tabela4[[#This Row],[RECOMPRADO]]="RECEBIDO","LIQUIDADO",IF(O50="LIQUIDADO","LIQUIDADO",IF(I50&lt;$I$5,"VENCIDO","A VENCER")))</f>
        <v>LIQUIDADO</v>
      </c>
      <c r="N50" s="222" t="str">
        <f>IF(Tabela4[[#This Row],[STATUS]]="LIQUIDADO","",Tabela4[[#This Row],[VCTO]]-$I$5)</f>
        <v/>
      </c>
      <c r="O50" s="218" t="s">
        <v>86</v>
      </c>
      <c r="P50" s="219"/>
      <c r="Q50" s="218"/>
      <c r="R50" s="218"/>
      <c r="S50" s="218"/>
      <c r="T50" s="218"/>
      <c r="U50" s="218"/>
      <c r="V50" s="5"/>
    </row>
    <row r="51" spans="1:22">
      <c r="A51" s="218" t="s">
        <v>108</v>
      </c>
      <c r="B51" s="219">
        <v>45988</v>
      </c>
      <c r="C51" s="6" t="s">
        <v>41</v>
      </c>
      <c r="D51" s="5" t="s">
        <v>430</v>
      </c>
      <c r="E51" s="10" t="s">
        <v>441</v>
      </c>
      <c r="F51" s="5" t="s">
        <v>25</v>
      </c>
      <c r="G51" s="315" t="s">
        <v>63</v>
      </c>
      <c r="H51" s="231">
        <v>377.3</v>
      </c>
      <c r="I51" s="7">
        <v>46030</v>
      </c>
      <c r="J51" s="221" t="s">
        <v>91</v>
      </c>
      <c r="K51" s="218" t="s">
        <v>77</v>
      </c>
      <c r="L51" s="219">
        <v>46025</v>
      </c>
      <c r="M51" s="218" t="str">
        <f>IF(Tabela4[[#This Row],[RECOMPRADO]]="RECEBIDO","LIQUIDADO",IF(O51="LIQUIDADO","LIQUIDADO",IF(I51&lt;$I$5,"VENCIDO","A VENCER")))</f>
        <v>LIQUIDADO</v>
      </c>
      <c r="N51" s="222" t="str">
        <f>IF(Tabela4[[#This Row],[STATUS]]="LIQUIDADO","",Tabela4[[#This Row],[VCTO]]-$I$5)</f>
        <v/>
      </c>
      <c r="O51" s="218" t="s">
        <v>86</v>
      </c>
      <c r="P51" s="219"/>
      <c r="Q51" s="218"/>
      <c r="R51" s="218"/>
      <c r="S51" s="218"/>
      <c r="T51" s="218"/>
      <c r="U51" s="218"/>
      <c r="V51" s="5"/>
    </row>
    <row r="52" spans="1:22">
      <c r="A52" s="218" t="s">
        <v>0</v>
      </c>
      <c r="B52" s="219">
        <v>45989</v>
      </c>
      <c r="C52" s="6" t="s">
        <v>41</v>
      </c>
      <c r="D52" s="218" t="s">
        <v>431</v>
      </c>
      <c r="E52" s="10" t="s">
        <v>446</v>
      </c>
      <c r="F52" s="6" t="s">
        <v>24</v>
      </c>
      <c r="G52" s="315" t="s">
        <v>59</v>
      </c>
      <c r="H52" s="231">
        <v>15200</v>
      </c>
      <c r="I52" s="221">
        <v>46017</v>
      </c>
      <c r="J52" s="221" t="s">
        <v>91</v>
      </c>
      <c r="K52" s="218" t="s">
        <v>77</v>
      </c>
      <c r="L52" s="219">
        <v>46025</v>
      </c>
      <c r="M52" s="218" t="str">
        <f>IF(Tabela4[[#This Row],[RECOMPRADO]]="RECEBIDO","LIQUIDADO",IF(O52="LIQUIDADO","LIQUIDADO",IF(I52&lt;$I$5,"VENCIDO","A VENCER")))</f>
        <v>LIQUIDADO</v>
      </c>
      <c r="N52" s="222" t="str">
        <f>IF(Tabela4[[#This Row],[STATUS]]="LIQUIDADO","",Tabela4[[#This Row],[VCTO]]-$I$5)</f>
        <v/>
      </c>
      <c r="O52" s="218" t="s">
        <v>86</v>
      </c>
      <c r="P52" s="219"/>
      <c r="Q52" s="218"/>
      <c r="R52" s="218"/>
      <c r="S52" s="218"/>
      <c r="T52" s="218"/>
      <c r="U52" s="218"/>
      <c r="V52" s="5"/>
    </row>
    <row r="53" spans="1:22">
      <c r="A53" s="218" t="s">
        <v>0</v>
      </c>
      <c r="B53" s="219">
        <v>45989</v>
      </c>
      <c r="C53" s="6" t="s">
        <v>41</v>
      </c>
      <c r="D53" s="5" t="s">
        <v>432</v>
      </c>
      <c r="E53" s="10" t="s">
        <v>441</v>
      </c>
      <c r="F53" s="5" t="s">
        <v>301</v>
      </c>
      <c r="G53" s="353" t="s">
        <v>360</v>
      </c>
      <c r="H53" s="231">
        <v>1641.66</v>
      </c>
      <c r="I53" s="7">
        <v>46049</v>
      </c>
      <c r="J53" s="221" t="s">
        <v>91</v>
      </c>
      <c r="K53" s="218" t="s">
        <v>77</v>
      </c>
      <c r="L53" s="219">
        <v>46025</v>
      </c>
      <c r="M53" s="218" t="str">
        <f>IF(Tabela4[[#This Row],[RECOMPRADO]]="RECEBIDO","LIQUIDADO",IF(O53="LIQUIDADO","LIQUIDADO",IF(I53&lt;$I$5,"VENCIDO","A VENCER")))</f>
        <v>LIQUIDADO</v>
      </c>
      <c r="N53" s="222" t="str">
        <f>IF(Tabela4[[#This Row],[STATUS]]="LIQUIDADO","",Tabela4[[#This Row],[VCTO]]-$I$5)</f>
        <v/>
      </c>
      <c r="O53" s="218" t="s">
        <v>86</v>
      </c>
      <c r="P53" s="219"/>
      <c r="Q53" s="218"/>
      <c r="R53" s="218"/>
      <c r="S53" s="218"/>
      <c r="T53" s="218"/>
      <c r="U53" s="218"/>
      <c r="V53" s="5"/>
    </row>
    <row r="54" spans="1:22">
      <c r="A54" s="218" t="s">
        <v>0</v>
      </c>
      <c r="B54" s="219">
        <v>45989</v>
      </c>
      <c r="C54" s="6" t="s">
        <v>43</v>
      </c>
      <c r="D54" s="218" t="s">
        <v>432</v>
      </c>
      <c r="E54" s="10" t="s">
        <v>441</v>
      </c>
      <c r="F54" s="6" t="s">
        <v>301</v>
      </c>
      <c r="G54" s="353" t="s">
        <v>360</v>
      </c>
      <c r="H54" s="231">
        <v>1641.66</v>
      </c>
      <c r="I54" s="221">
        <v>46049</v>
      </c>
      <c r="J54" s="221" t="s">
        <v>91</v>
      </c>
      <c r="K54" s="218" t="s">
        <v>77</v>
      </c>
      <c r="L54" s="219">
        <v>46025</v>
      </c>
      <c r="M54" s="218" t="str">
        <f>IF(Tabela4[[#This Row],[RECOMPRADO]]="RECEBIDO","LIQUIDADO",IF(O54="LIQUIDADO","LIQUIDADO",IF(I54&lt;$I$5,"VENCIDO","A VENCER")))</f>
        <v>LIQUIDADO</v>
      </c>
      <c r="N54" s="222" t="str">
        <f>IF(Tabela4[[#This Row],[STATUS]]="LIQUIDADO","",Tabela4[[#This Row],[VCTO]]-$I$5)</f>
        <v/>
      </c>
      <c r="O54" s="218" t="s">
        <v>86</v>
      </c>
      <c r="P54" s="219"/>
      <c r="Q54" s="218"/>
      <c r="R54" s="218"/>
      <c r="S54" s="218"/>
      <c r="T54" s="218"/>
      <c r="U54" s="218"/>
      <c r="V54" s="5"/>
    </row>
    <row r="55" spans="1:22">
      <c r="A55" s="218" t="s">
        <v>0</v>
      </c>
      <c r="B55" s="219">
        <v>45989</v>
      </c>
      <c r="C55" s="6" t="s">
        <v>41</v>
      </c>
      <c r="D55" s="5" t="s">
        <v>433</v>
      </c>
      <c r="E55" s="10" t="s">
        <v>441</v>
      </c>
      <c r="F55" s="5" t="s">
        <v>466</v>
      </c>
      <c r="G55" s="353" t="s">
        <v>530</v>
      </c>
      <c r="H55" s="231">
        <v>16349.71</v>
      </c>
      <c r="I55" s="7">
        <v>46041</v>
      </c>
      <c r="J55" s="221" t="s">
        <v>91</v>
      </c>
      <c r="K55" s="218" t="s">
        <v>81</v>
      </c>
      <c r="L55" s="219">
        <v>46027</v>
      </c>
      <c r="M55" s="218" t="str">
        <f>IF(Tabela4[[#This Row],[RECOMPRADO]]="RECEBIDO","LIQUIDADO",IF(O55="LIQUIDADO","LIQUIDADO",IF(I55&lt;$I$5,"VENCIDO","A VENCER")))</f>
        <v>LIQUIDADO</v>
      </c>
      <c r="N55" s="222" t="str">
        <f>IF(Tabela4[[#This Row],[STATUS]]="LIQUIDADO","",Tabela4[[#This Row],[VCTO]]-$I$5)</f>
        <v/>
      </c>
      <c r="O55" s="218" t="s">
        <v>86</v>
      </c>
      <c r="P55" s="219"/>
      <c r="Q55" s="218"/>
      <c r="R55" s="218"/>
      <c r="S55" s="218"/>
      <c r="T55" s="218"/>
      <c r="U55" s="218"/>
      <c r="V55" s="5"/>
    </row>
    <row r="56" spans="1:22">
      <c r="A56" s="218" t="s">
        <v>0</v>
      </c>
      <c r="B56" s="219">
        <v>45989</v>
      </c>
      <c r="C56" s="6" t="s">
        <v>41</v>
      </c>
      <c r="D56" s="218" t="s">
        <v>434</v>
      </c>
      <c r="E56" s="10" t="s">
        <v>450</v>
      </c>
      <c r="F56" s="6" t="s">
        <v>467</v>
      </c>
      <c r="G56" s="353" t="s">
        <v>531</v>
      </c>
      <c r="H56" s="231">
        <v>1056.25</v>
      </c>
      <c r="I56" s="221">
        <v>46041</v>
      </c>
      <c r="J56" s="221" t="s">
        <v>91</v>
      </c>
      <c r="K56" s="218" t="s">
        <v>77</v>
      </c>
      <c r="L56" s="219">
        <v>46025</v>
      </c>
      <c r="M56" s="218" t="str">
        <f>IF(Tabela4[[#This Row],[RECOMPRADO]]="RECEBIDO","LIQUIDADO",IF(O56="LIQUIDADO","LIQUIDADO",IF(I56&lt;$I$5,"VENCIDO","A VENCER")))</f>
        <v>LIQUIDADO</v>
      </c>
      <c r="N56" s="222" t="str">
        <f>IF(Tabela4[[#This Row],[STATUS]]="LIQUIDADO","",Tabela4[[#This Row],[VCTO]]-$I$5)</f>
        <v/>
      </c>
      <c r="O56" s="218" t="s">
        <v>86</v>
      </c>
      <c r="P56" s="219"/>
      <c r="Q56" s="218"/>
      <c r="R56" s="218"/>
      <c r="S56" s="218"/>
      <c r="T56" s="218"/>
      <c r="U56" s="218"/>
      <c r="V56" s="5"/>
    </row>
    <row r="57" spans="1:22">
      <c r="A57" s="218" t="s">
        <v>0</v>
      </c>
      <c r="B57" s="219">
        <v>45989</v>
      </c>
      <c r="C57" s="6" t="s">
        <v>43</v>
      </c>
      <c r="D57" s="5" t="s">
        <v>434</v>
      </c>
      <c r="E57" s="10" t="s">
        <v>450</v>
      </c>
      <c r="F57" s="5" t="s">
        <v>467</v>
      </c>
      <c r="G57" s="353" t="s">
        <v>531</v>
      </c>
      <c r="H57" s="231">
        <v>1056.25</v>
      </c>
      <c r="I57" s="7">
        <v>46041</v>
      </c>
      <c r="J57" s="221" t="s">
        <v>91</v>
      </c>
      <c r="K57" s="218" t="s">
        <v>77</v>
      </c>
      <c r="L57" s="219">
        <v>46025</v>
      </c>
      <c r="M57" s="218" t="str">
        <f>IF(Tabela4[[#This Row],[RECOMPRADO]]="RECEBIDO","LIQUIDADO",IF(O57="LIQUIDADO","LIQUIDADO",IF(I57&lt;$I$5,"VENCIDO","A VENCER")))</f>
        <v>LIQUIDADO</v>
      </c>
      <c r="N57" s="222" t="str">
        <f>IF(Tabela4[[#This Row],[STATUS]]="LIQUIDADO","",Tabela4[[#This Row],[VCTO]]-$I$5)</f>
        <v/>
      </c>
      <c r="O57" s="218" t="s">
        <v>86</v>
      </c>
      <c r="P57" s="219"/>
      <c r="Q57" s="218"/>
      <c r="R57" s="218"/>
      <c r="S57" s="218"/>
      <c r="T57" s="218"/>
      <c r="U57" s="218"/>
      <c r="V57" s="5"/>
    </row>
    <row r="58" spans="1:22">
      <c r="A58" s="218" t="s">
        <v>0</v>
      </c>
      <c r="B58" s="219">
        <v>45989</v>
      </c>
      <c r="C58" s="6" t="s">
        <v>41</v>
      </c>
      <c r="D58" s="218" t="s">
        <v>435</v>
      </c>
      <c r="E58" s="10" t="s">
        <v>450</v>
      </c>
      <c r="F58" s="6" t="s">
        <v>304</v>
      </c>
      <c r="G58" s="353" t="s">
        <v>358</v>
      </c>
      <c r="H58" s="231">
        <v>1111.8800000000001</v>
      </c>
      <c r="I58" s="221">
        <v>46049</v>
      </c>
      <c r="J58" s="221" t="s">
        <v>91</v>
      </c>
      <c r="K58" s="218" t="s">
        <v>77</v>
      </c>
      <c r="L58" s="219">
        <v>46025</v>
      </c>
      <c r="M58" s="218" t="str">
        <f>IF(Tabela4[[#This Row],[RECOMPRADO]]="RECEBIDO","LIQUIDADO",IF(O58="LIQUIDADO","LIQUIDADO",IF(I58&lt;$I$5,"VENCIDO","A VENCER")))</f>
        <v>LIQUIDADO</v>
      </c>
      <c r="N58" s="222" t="str">
        <f>IF(Tabela4[[#This Row],[STATUS]]="LIQUIDADO","",Tabela4[[#This Row],[VCTO]]-$I$5)</f>
        <v/>
      </c>
      <c r="O58" s="218" t="s">
        <v>86</v>
      </c>
      <c r="P58" s="219"/>
      <c r="Q58" s="218"/>
      <c r="R58" s="218"/>
      <c r="S58" s="218"/>
      <c r="T58" s="218"/>
      <c r="U58" s="218"/>
      <c r="V58" s="5"/>
    </row>
    <row r="59" spans="1:22">
      <c r="A59" s="218" t="s">
        <v>0</v>
      </c>
      <c r="B59" s="219">
        <v>45989</v>
      </c>
      <c r="C59" s="6" t="s">
        <v>43</v>
      </c>
      <c r="D59" s="5" t="s">
        <v>435</v>
      </c>
      <c r="E59" s="10" t="s">
        <v>450</v>
      </c>
      <c r="F59" s="5" t="s">
        <v>304</v>
      </c>
      <c r="G59" s="353" t="s">
        <v>358</v>
      </c>
      <c r="H59" s="231">
        <v>1112</v>
      </c>
      <c r="I59" s="7">
        <v>46049</v>
      </c>
      <c r="J59" s="221" t="s">
        <v>91</v>
      </c>
      <c r="K59" s="218" t="s">
        <v>77</v>
      </c>
      <c r="L59" s="219">
        <v>46025</v>
      </c>
      <c r="M59" s="218" t="str">
        <f>IF(Tabela4[[#This Row],[RECOMPRADO]]="RECEBIDO","LIQUIDADO",IF(O59="LIQUIDADO","LIQUIDADO",IF(I59&lt;$I$5,"VENCIDO","A VENCER")))</f>
        <v>LIQUIDADO</v>
      </c>
      <c r="N59" s="222" t="str">
        <f>IF(Tabela4[[#This Row],[STATUS]]="LIQUIDADO","",Tabela4[[#This Row],[VCTO]]-$I$5)</f>
        <v/>
      </c>
      <c r="O59" s="218" t="s">
        <v>86</v>
      </c>
      <c r="P59" s="219"/>
      <c r="Q59" s="218"/>
      <c r="R59" s="218"/>
      <c r="S59" s="218"/>
      <c r="T59" s="218"/>
      <c r="U59" s="218"/>
      <c r="V59" s="5"/>
    </row>
    <row r="60" spans="1:22">
      <c r="A60" s="218" t="s">
        <v>0</v>
      </c>
      <c r="B60" s="219">
        <v>45989</v>
      </c>
      <c r="C60" s="6" t="s">
        <v>41</v>
      </c>
      <c r="D60" s="218" t="s">
        <v>436</v>
      </c>
      <c r="E60" s="10" t="s">
        <v>450</v>
      </c>
      <c r="F60" s="6" t="s">
        <v>468</v>
      </c>
      <c r="G60" s="353" t="s">
        <v>532</v>
      </c>
      <c r="H60" s="231">
        <v>2363.88</v>
      </c>
      <c r="I60" s="221">
        <v>46041</v>
      </c>
      <c r="J60" s="221" t="s">
        <v>91</v>
      </c>
      <c r="K60" s="218" t="s">
        <v>77</v>
      </c>
      <c r="L60" s="219">
        <v>46025</v>
      </c>
      <c r="M60" s="218" t="str">
        <f>IF(Tabela4[[#This Row],[RECOMPRADO]]="RECEBIDO","LIQUIDADO",IF(O60="LIQUIDADO","LIQUIDADO",IF(I60&lt;$I$5,"VENCIDO","A VENCER")))</f>
        <v>LIQUIDADO</v>
      </c>
      <c r="N60" s="222" t="str">
        <f>IF(Tabela4[[#This Row],[STATUS]]="LIQUIDADO","",Tabela4[[#This Row],[VCTO]]-$I$5)</f>
        <v/>
      </c>
      <c r="O60" s="218" t="s">
        <v>86</v>
      </c>
      <c r="P60" s="219"/>
      <c r="Q60" s="218"/>
      <c r="R60" s="218"/>
      <c r="S60" s="218"/>
      <c r="T60" s="218"/>
      <c r="U60" s="218"/>
      <c r="V60" s="5"/>
    </row>
    <row r="61" spans="1:22">
      <c r="A61" s="218" t="s">
        <v>0</v>
      </c>
      <c r="B61" s="219">
        <v>45989</v>
      </c>
      <c r="C61" s="6" t="s">
        <v>43</v>
      </c>
      <c r="D61" s="5" t="s">
        <v>436</v>
      </c>
      <c r="E61" s="10" t="s">
        <v>450</v>
      </c>
      <c r="F61" s="5" t="s">
        <v>468</v>
      </c>
      <c r="G61" s="353" t="s">
        <v>532</v>
      </c>
      <c r="H61" s="231">
        <v>2363.9499999999998</v>
      </c>
      <c r="I61" s="7">
        <v>46041</v>
      </c>
      <c r="J61" s="221" t="s">
        <v>91</v>
      </c>
      <c r="K61" s="218" t="s">
        <v>77</v>
      </c>
      <c r="L61" s="219">
        <v>46025</v>
      </c>
      <c r="M61" s="218" t="str">
        <f>IF(Tabela4[[#This Row],[RECOMPRADO]]="RECEBIDO","LIQUIDADO",IF(O61="LIQUIDADO","LIQUIDADO",IF(I61&lt;$I$5,"VENCIDO","A VENCER")))</f>
        <v>LIQUIDADO</v>
      </c>
      <c r="N61" s="222" t="str">
        <f>IF(Tabela4[[#This Row],[STATUS]]="LIQUIDADO","",Tabela4[[#This Row],[VCTO]]-$I$5)</f>
        <v/>
      </c>
      <c r="O61" s="218" t="s">
        <v>86</v>
      </c>
      <c r="P61" s="219"/>
      <c r="Q61" s="218"/>
      <c r="R61" s="218"/>
      <c r="S61" s="218"/>
      <c r="T61" s="218"/>
      <c r="U61" s="218"/>
      <c r="V61" s="5"/>
    </row>
    <row r="62" spans="1:22">
      <c r="A62" s="218" t="s">
        <v>7</v>
      </c>
      <c r="B62" s="219">
        <v>45989</v>
      </c>
      <c r="C62" s="6" t="s">
        <v>41</v>
      </c>
      <c r="D62" s="218" t="s">
        <v>437</v>
      </c>
      <c r="E62" s="10" t="s">
        <v>447</v>
      </c>
      <c r="F62" s="6" t="s">
        <v>464</v>
      </c>
      <c r="G62" s="353" t="s">
        <v>483</v>
      </c>
      <c r="H62" s="231">
        <v>5082</v>
      </c>
      <c r="I62" s="221">
        <v>46041</v>
      </c>
      <c r="J62" s="221" t="s">
        <v>91</v>
      </c>
      <c r="K62" s="218" t="s">
        <v>77</v>
      </c>
      <c r="L62" s="219">
        <v>46025</v>
      </c>
      <c r="M62" s="218" t="str">
        <f>IF(Tabela4[[#This Row],[RECOMPRADO]]="RECEBIDO","LIQUIDADO",IF(O62="LIQUIDADO","LIQUIDADO",IF(I62&lt;$I$5,"VENCIDO","A VENCER")))</f>
        <v>LIQUIDADO</v>
      </c>
      <c r="N62" s="222" t="str">
        <f>IF(Tabela4[[#This Row],[STATUS]]="LIQUIDADO","",Tabela4[[#This Row],[VCTO]]-$I$5)</f>
        <v/>
      </c>
      <c r="O62" s="218" t="s">
        <v>86</v>
      </c>
      <c r="P62" s="219"/>
      <c r="Q62" s="218"/>
      <c r="R62" s="218"/>
      <c r="S62" s="218"/>
      <c r="T62" s="218"/>
      <c r="U62" s="218"/>
      <c r="V62" s="5"/>
    </row>
    <row r="63" spans="1:22">
      <c r="A63" s="218" t="s">
        <v>7</v>
      </c>
      <c r="B63" s="219">
        <v>45989</v>
      </c>
      <c r="C63" s="6" t="s">
        <v>41</v>
      </c>
      <c r="D63" s="5" t="s">
        <v>437</v>
      </c>
      <c r="E63" s="10" t="s">
        <v>445</v>
      </c>
      <c r="F63" s="5" t="s">
        <v>464</v>
      </c>
      <c r="G63" s="353" t="s">
        <v>483</v>
      </c>
      <c r="H63" s="231">
        <v>5082</v>
      </c>
      <c r="I63" s="7">
        <v>46048</v>
      </c>
      <c r="J63" s="221" t="s">
        <v>91</v>
      </c>
      <c r="K63" s="218" t="s">
        <v>77</v>
      </c>
      <c r="L63" s="219">
        <v>46025</v>
      </c>
      <c r="M63" s="218" t="str">
        <f>IF(Tabela4[[#This Row],[RECOMPRADO]]="RECEBIDO","LIQUIDADO",IF(O63="LIQUIDADO","LIQUIDADO",IF(I63&lt;$I$5,"VENCIDO","A VENCER")))</f>
        <v>LIQUIDADO</v>
      </c>
      <c r="N63" s="222" t="str">
        <f>IF(Tabela4[[#This Row],[STATUS]]="LIQUIDADO","",Tabela4[[#This Row],[VCTO]]-$I$5)</f>
        <v/>
      </c>
      <c r="O63" s="218" t="s">
        <v>86</v>
      </c>
      <c r="P63" s="219"/>
      <c r="Q63" s="218"/>
      <c r="R63" s="218"/>
      <c r="S63" s="218"/>
      <c r="T63" s="218"/>
      <c r="U63" s="218"/>
      <c r="V63" s="5"/>
    </row>
    <row r="64" spans="1:22">
      <c r="A64" s="218" t="s">
        <v>7</v>
      </c>
      <c r="B64" s="219">
        <v>45989</v>
      </c>
      <c r="C64" s="6" t="s">
        <v>41</v>
      </c>
      <c r="D64" s="218" t="s">
        <v>438</v>
      </c>
      <c r="E64" s="10" t="s">
        <v>450</v>
      </c>
      <c r="F64" s="6" t="s">
        <v>335</v>
      </c>
      <c r="G64" s="353" t="s">
        <v>371</v>
      </c>
      <c r="H64" s="231">
        <v>2945</v>
      </c>
      <c r="I64" s="221">
        <v>46041</v>
      </c>
      <c r="J64" s="221" t="s">
        <v>91</v>
      </c>
      <c r="K64" s="218" t="s">
        <v>77</v>
      </c>
      <c r="L64" s="219">
        <v>46025</v>
      </c>
      <c r="M64" s="218" t="str">
        <f>IF(Tabela4[[#This Row],[RECOMPRADO]]="RECEBIDO","LIQUIDADO",IF(O64="LIQUIDADO","LIQUIDADO",IF(I64&lt;$I$5,"VENCIDO","A VENCER")))</f>
        <v>LIQUIDADO</v>
      </c>
      <c r="N64" s="222" t="str">
        <f>IF(Tabela4[[#This Row],[STATUS]]="LIQUIDADO","",Tabela4[[#This Row],[VCTO]]-$I$5)</f>
        <v/>
      </c>
      <c r="O64" s="218" t="s">
        <v>86</v>
      </c>
      <c r="P64" s="219"/>
      <c r="Q64" s="218"/>
      <c r="R64" s="218"/>
      <c r="S64" s="218"/>
      <c r="T64" s="218"/>
      <c r="U64" s="218"/>
      <c r="V64" s="5"/>
    </row>
    <row r="65" spans="1:22">
      <c r="A65" s="218" t="s">
        <v>0</v>
      </c>
      <c r="B65" s="219">
        <v>45989</v>
      </c>
      <c r="C65" s="6" t="s">
        <v>41</v>
      </c>
      <c r="D65" s="218" t="s">
        <v>434</v>
      </c>
      <c r="E65" s="10" t="s">
        <v>453</v>
      </c>
      <c r="F65" s="6" t="s">
        <v>467</v>
      </c>
      <c r="G65" s="353" t="s">
        <v>531</v>
      </c>
      <c r="H65" s="231">
        <v>1056.25</v>
      </c>
      <c r="I65" s="221">
        <v>46027</v>
      </c>
      <c r="J65" s="221" t="s">
        <v>91</v>
      </c>
      <c r="K65" s="218" t="s">
        <v>77</v>
      </c>
      <c r="L65" s="219">
        <v>46025</v>
      </c>
      <c r="M65" s="218" t="str">
        <f>IF(Tabela4[[#This Row],[RECOMPRADO]]="RECEBIDO","LIQUIDADO",IF(O65="LIQUIDADO","LIQUIDADO",IF(I65&lt;$I$5,"VENCIDO","A VENCER")))</f>
        <v>LIQUIDADO</v>
      </c>
      <c r="N65" s="222" t="str">
        <f>IF(Tabela4[[#This Row],[STATUS]]="LIQUIDADO","",Tabela4[[#This Row],[VCTO]]-$I$5)</f>
        <v/>
      </c>
      <c r="O65" s="218" t="s">
        <v>86</v>
      </c>
      <c r="P65" s="219"/>
      <c r="Q65" s="218"/>
      <c r="R65" s="218"/>
      <c r="S65" s="218"/>
      <c r="T65" s="218"/>
      <c r="U65" s="218"/>
      <c r="V65" s="5"/>
    </row>
    <row r="66" spans="1:22">
      <c r="A66" s="218" t="s">
        <v>0</v>
      </c>
      <c r="B66" s="219">
        <v>45989</v>
      </c>
      <c r="C66" s="6" t="s">
        <v>43</v>
      </c>
      <c r="D66" s="5" t="s">
        <v>434</v>
      </c>
      <c r="E66" s="10" t="s">
        <v>453</v>
      </c>
      <c r="F66" s="5" t="s">
        <v>467</v>
      </c>
      <c r="G66" s="353" t="s">
        <v>531</v>
      </c>
      <c r="H66" s="231">
        <v>1056.25</v>
      </c>
      <c r="I66" s="7">
        <v>46027</v>
      </c>
      <c r="J66" s="221" t="s">
        <v>91</v>
      </c>
      <c r="K66" s="218" t="s">
        <v>77</v>
      </c>
      <c r="L66" s="219">
        <v>46025</v>
      </c>
      <c r="M66" s="218" t="str">
        <f>IF(Tabela4[[#This Row],[RECOMPRADO]]="RECEBIDO","LIQUIDADO",IF(O66="LIQUIDADO","LIQUIDADO",IF(I66&lt;$I$5,"VENCIDO","A VENCER")))</f>
        <v>LIQUIDADO</v>
      </c>
      <c r="N66" s="222" t="str">
        <f>IF(Tabela4[[#This Row],[STATUS]]="LIQUIDADO","",Tabela4[[#This Row],[VCTO]]-$I$5)</f>
        <v/>
      </c>
      <c r="O66" s="218" t="s">
        <v>86</v>
      </c>
      <c r="P66" s="219"/>
      <c r="Q66" s="218"/>
      <c r="R66" s="218"/>
      <c r="S66" s="218"/>
      <c r="T66" s="218"/>
      <c r="U66" s="218"/>
      <c r="V66" s="5"/>
    </row>
    <row r="67" spans="1:22">
      <c r="A67" s="218" t="s">
        <v>0</v>
      </c>
      <c r="B67" s="219">
        <v>45989</v>
      </c>
      <c r="C67" s="6" t="s">
        <v>41</v>
      </c>
      <c r="D67" s="218" t="s">
        <v>439</v>
      </c>
      <c r="E67" s="10" t="s">
        <v>441</v>
      </c>
      <c r="F67" s="6" t="s">
        <v>100</v>
      </c>
      <c r="G67" s="353" t="s">
        <v>101</v>
      </c>
      <c r="H67" s="231">
        <v>2484</v>
      </c>
      <c r="I67" s="221">
        <v>46035</v>
      </c>
      <c r="J67" s="221" t="s">
        <v>91</v>
      </c>
      <c r="K67" s="218" t="s">
        <v>77</v>
      </c>
      <c r="L67" s="219">
        <v>46025</v>
      </c>
      <c r="M67" s="218" t="str">
        <f>IF(Tabela4[[#This Row],[RECOMPRADO]]="RECEBIDO","LIQUIDADO",IF(O67="LIQUIDADO","LIQUIDADO",IF(I67&lt;$I$5,"VENCIDO","A VENCER")))</f>
        <v>LIQUIDADO</v>
      </c>
      <c r="N67" s="222" t="str">
        <f>IF(Tabela4[[#This Row],[STATUS]]="LIQUIDADO","",Tabela4[[#This Row],[VCTO]]-$I$5)</f>
        <v/>
      </c>
      <c r="O67" s="218" t="s">
        <v>86</v>
      </c>
      <c r="P67" s="219"/>
      <c r="Q67" s="218"/>
      <c r="R67" s="218"/>
      <c r="S67" s="218"/>
      <c r="T67" s="218"/>
      <c r="U67" s="218"/>
      <c r="V67" s="5"/>
    </row>
    <row r="68" spans="1:22">
      <c r="A68" s="218" t="s">
        <v>0</v>
      </c>
      <c r="B68" s="219">
        <v>45989</v>
      </c>
      <c r="C68" s="6" t="s">
        <v>43</v>
      </c>
      <c r="D68" s="5" t="s">
        <v>439</v>
      </c>
      <c r="E68" s="10" t="s">
        <v>441</v>
      </c>
      <c r="F68" s="5" t="s">
        <v>100</v>
      </c>
      <c r="G68" s="353" t="s">
        <v>101</v>
      </c>
      <c r="H68" s="231">
        <v>5796</v>
      </c>
      <c r="I68" s="7">
        <v>46035</v>
      </c>
      <c r="J68" s="221" t="s">
        <v>91</v>
      </c>
      <c r="K68" s="218" t="s">
        <v>77</v>
      </c>
      <c r="L68" s="219">
        <v>46025</v>
      </c>
      <c r="M68" s="218" t="str">
        <f>IF(Tabela4[[#This Row],[RECOMPRADO]]="RECEBIDO","LIQUIDADO",IF(O68="LIQUIDADO","LIQUIDADO",IF(I68&lt;$I$5,"VENCIDO","A VENCER")))</f>
        <v>LIQUIDADO</v>
      </c>
      <c r="N68" s="222" t="str">
        <f>IF(Tabela4[[#This Row],[STATUS]]="LIQUIDADO","",Tabela4[[#This Row],[VCTO]]-$I$5)</f>
        <v/>
      </c>
      <c r="O68" s="218" t="s">
        <v>86</v>
      </c>
      <c r="P68" s="219"/>
      <c r="Q68" s="218"/>
      <c r="R68" s="218"/>
      <c r="S68" s="218"/>
      <c r="T68" s="218"/>
      <c r="U68" s="218"/>
      <c r="V68" s="5"/>
    </row>
    <row r="69" spans="1:22">
      <c r="A69" s="218" t="s">
        <v>0</v>
      </c>
      <c r="B69" s="219">
        <v>45989</v>
      </c>
      <c r="C69" s="6" t="s">
        <v>41</v>
      </c>
      <c r="D69" s="218" t="s">
        <v>432</v>
      </c>
      <c r="E69" s="10" t="s">
        <v>442</v>
      </c>
      <c r="F69" s="6" t="s">
        <v>301</v>
      </c>
      <c r="G69" s="353" t="s">
        <v>360</v>
      </c>
      <c r="H69" s="231">
        <v>1641.67</v>
      </c>
      <c r="I69" s="221">
        <v>46034</v>
      </c>
      <c r="J69" s="221" t="s">
        <v>91</v>
      </c>
      <c r="K69" s="218" t="s">
        <v>77</v>
      </c>
      <c r="L69" s="219">
        <v>46025</v>
      </c>
      <c r="M69" s="218" t="str">
        <f>IF(Tabela4[[#This Row],[RECOMPRADO]]="RECEBIDO","LIQUIDADO",IF(O69="LIQUIDADO","LIQUIDADO",IF(I69&lt;$I$5,"VENCIDO","A VENCER")))</f>
        <v>LIQUIDADO</v>
      </c>
      <c r="N69" s="222" t="str">
        <f>IF(Tabela4[[#This Row],[STATUS]]="LIQUIDADO","",Tabela4[[#This Row],[VCTO]]-$I$5)</f>
        <v/>
      </c>
      <c r="O69" s="218" t="s">
        <v>86</v>
      </c>
      <c r="P69" s="219"/>
      <c r="Q69" s="218"/>
      <c r="R69" s="218"/>
      <c r="S69" s="218"/>
      <c r="T69" s="218"/>
      <c r="U69" s="218"/>
      <c r="V69" s="5"/>
    </row>
    <row r="70" spans="1:22">
      <c r="A70" s="218" t="s">
        <v>0</v>
      </c>
      <c r="B70" s="219">
        <v>45989</v>
      </c>
      <c r="C70" s="6" t="s">
        <v>43</v>
      </c>
      <c r="D70" s="5" t="s">
        <v>432</v>
      </c>
      <c r="E70" s="10" t="s">
        <v>442</v>
      </c>
      <c r="F70" s="5" t="s">
        <v>301</v>
      </c>
      <c r="G70" s="353" t="s">
        <v>360</v>
      </c>
      <c r="H70" s="231">
        <v>1641.67</v>
      </c>
      <c r="I70" s="7">
        <v>46034</v>
      </c>
      <c r="J70" s="221" t="s">
        <v>91</v>
      </c>
      <c r="K70" s="218" t="s">
        <v>77</v>
      </c>
      <c r="L70" s="219">
        <v>46025</v>
      </c>
      <c r="M70" s="218" t="str">
        <f>IF(Tabela4[[#This Row],[RECOMPRADO]]="RECEBIDO","LIQUIDADO",IF(O70="LIQUIDADO","LIQUIDADO",IF(I70&lt;$I$5,"VENCIDO","A VENCER")))</f>
        <v>LIQUIDADO</v>
      </c>
      <c r="N70" s="222" t="str">
        <f>IF(Tabela4[[#This Row],[STATUS]]="LIQUIDADO","",Tabela4[[#This Row],[VCTO]]-$I$5)</f>
        <v/>
      </c>
      <c r="O70" s="218" t="s">
        <v>86</v>
      </c>
      <c r="P70" s="219"/>
      <c r="Q70" s="218"/>
      <c r="R70" s="218"/>
      <c r="S70" s="218"/>
      <c r="T70" s="218"/>
      <c r="U70" s="218"/>
      <c r="V70" s="5"/>
    </row>
    <row r="71" spans="1:22">
      <c r="A71" s="218" t="s">
        <v>0</v>
      </c>
      <c r="B71" s="219">
        <v>45989</v>
      </c>
      <c r="C71" s="6" t="s">
        <v>41</v>
      </c>
      <c r="D71" s="218" t="s">
        <v>436</v>
      </c>
      <c r="E71" s="10" t="s">
        <v>452</v>
      </c>
      <c r="F71" s="6" t="s">
        <v>468</v>
      </c>
      <c r="G71" s="353" t="s">
        <v>532</v>
      </c>
      <c r="H71" s="231">
        <v>2363.87</v>
      </c>
      <c r="I71" s="221">
        <v>46034</v>
      </c>
      <c r="J71" s="221" t="s">
        <v>91</v>
      </c>
      <c r="K71" s="218" t="s">
        <v>77</v>
      </c>
      <c r="L71" s="219">
        <v>46025</v>
      </c>
      <c r="M71" s="218" t="str">
        <f>IF(Tabela4[[#This Row],[RECOMPRADO]]="RECEBIDO","LIQUIDADO",IF(O71="LIQUIDADO","LIQUIDADO",IF(I71&lt;$I$5,"VENCIDO","A VENCER")))</f>
        <v>LIQUIDADO</v>
      </c>
      <c r="N71" s="222" t="str">
        <f>IF(Tabela4[[#This Row],[STATUS]]="LIQUIDADO","",Tabela4[[#This Row],[VCTO]]-$I$5)</f>
        <v/>
      </c>
      <c r="O71" s="218" t="s">
        <v>86</v>
      </c>
      <c r="P71" s="219"/>
      <c r="Q71" s="218"/>
      <c r="R71" s="218"/>
      <c r="S71" s="218"/>
      <c r="T71" s="218"/>
      <c r="U71" s="218"/>
      <c r="V71" s="5"/>
    </row>
    <row r="72" spans="1:22">
      <c r="A72" s="218" t="s">
        <v>0</v>
      </c>
      <c r="B72" s="219">
        <v>45989</v>
      </c>
      <c r="C72" s="6" t="s">
        <v>43</v>
      </c>
      <c r="D72" s="5" t="s">
        <v>436</v>
      </c>
      <c r="E72" s="10" t="s">
        <v>452</v>
      </c>
      <c r="F72" s="5" t="s">
        <v>468</v>
      </c>
      <c r="G72" s="353" t="s">
        <v>532</v>
      </c>
      <c r="H72" s="231">
        <v>2363.9499999999998</v>
      </c>
      <c r="I72" s="7">
        <v>46034</v>
      </c>
      <c r="J72" s="221" t="s">
        <v>91</v>
      </c>
      <c r="K72" s="218" t="s">
        <v>77</v>
      </c>
      <c r="L72" s="219">
        <v>46025</v>
      </c>
      <c r="M72" s="218" t="str">
        <f>IF(Tabela4[[#This Row],[RECOMPRADO]]="RECEBIDO","LIQUIDADO",IF(O72="LIQUIDADO","LIQUIDADO",IF(I72&lt;$I$5,"VENCIDO","A VENCER")))</f>
        <v>LIQUIDADO</v>
      </c>
      <c r="N72" s="222" t="str">
        <f>IF(Tabela4[[#This Row],[STATUS]]="LIQUIDADO","",Tabela4[[#This Row],[VCTO]]-$I$5)</f>
        <v/>
      </c>
      <c r="O72" s="218" t="s">
        <v>86</v>
      </c>
      <c r="P72" s="219"/>
      <c r="Q72" s="218"/>
      <c r="R72" s="218"/>
      <c r="S72" s="218"/>
      <c r="T72" s="218"/>
      <c r="U72" s="218"/>
      <c r="V72" s="5"/>
    </row>
    <row r="73" spans="1:22">
      <c r="A73" s="218" t="s">
        <v>0</v>
      </c>
      <c r="B73" s="219">
        <v>45989</v>
      </c>
      <c r="C73" s="6" t="s">
        <v>41</v>
      </c>
      <c r="D73" s="218" t="s">
        <v>433</v>
      </c>
      <c r="E73" s="10" t="s">
        <v>442</v>
      </c>
      <c r="F73" s="6" t="s">
        <v>466</v>
      </c>
      <c r="G73" s="353" t="s">
        <v>530</v>
      </c>
      <c r="H73" s="231">
        <v>16349.7</v>
      </c>
      <c r="I73" s="221">
        <v>46034</v>
      </c>
      <c r="J73" s="221" t="s">
        <v>91</v>
      </c>
      <c r="K73" s="218" t="s">
        <v>81</v>
      </c>
      <c r="L73" s="219">
        <v>46027</v>
      </c>
      <c r="M73" s="218" t="str">
        <f>IF(Tabela4[[#This Row],[RECOMPRADO]]="RECEBIDO","LIQUIDADO",IF(O73="LIQUIDADO","LIQUIDADO",IF(I73&lt;$I$5,"VENCIDO","A VENCER")))</f>
        <v>LIQUIDADO</v>
      </c>
      <c r="N73" s="222" t="str">
        <f>IF(Tabela4[[#This Row],[STATUS]]="LIQUIDADO","",Tabela4[[#This Row],[VCTO]]-$I$5)</f>
        <v/>
      </c>
      <c r="O73" s="218" t="s">
        <v>86</v>
      </c>
      <c r="P73" s="219"/>
      <c r="Q73" s="218"/>
      <c r="R73" s="218"/>
      <c r="S73" s="218"/>
      <c r="T73" s="218"/>
      <c r="U73" s="218"/>
      <c r="V73" s="5"/>
    </row>
    <row r="74" spans="1:22">
      <c r="A74" s="218" t="s">
        <v>0</v>
      </c>
      <c r="B74" s="219">
        <v>45989</v>
      </c>
      <c r="C74" s="6" t="s">
        <v>41</v>
      </c>
      <c r="D74" s="5" t="s">
        <v>440</v>
      </c>
      <c r="E74" s="10" t="s">
        <v>441</v>
      </c>
      <c r="F74" s="5" t="s">
        <v>11</v>
      </c>
      <c r="G74" s="353" t="s">
        <v>143</v>
      </c>
      <c r="H74" s="231">
        <v>3872.16</v>
      </c>
      <c r="I74" s="7">
        <v>46034</v>
      </c>
      <c r="J74" s="221" t="s">
        <v>91</v>
      </c>
      <c r="K74" s="218" t="s">
        <v>81</v>
      </c>
      <c r="L74" s="219">
        <v>46027</v>
      </c>
      <c r="M74" s="218" t="str">
        <f>IF(Tabela4[[#This Row],[RECOMPRADO]]="RECEBIDO","LIQUIDADO",IF(O74="LIQUIDADO","LIQUIDADO",IF(I74&lt;$I$5,"VENCIDO","A VENCER")))</f>
        <v>LIQUIDADO</v>
      </c>
      <c r="N74" s="222" t="str">
        <f>IF(Tabela4[[#This Row],[STATUS]]="LIQUIDADO","",Tabela4[[#This Row],[VCTO]]-$I$5)</f>
        <v/>
      </c>
      <c r="O74" s="218" t="s">
        <v>86</v>
      </c>
      <c r="P74" s="219"/>
      <c r="Q74" s="218"/>
      <c r="R74" s="218"/>
      <c r="S74" s="218"/>
      <c r="T74" s="218"/>
      <c r="U74" s="218"/>
      <c r="V74" s="5"/>
    </row>
    <row r="75" spans="1:22">
      <c r="A75" s="218" t="s">
        <v>7</v>
      </c>
      <c r="B75" s="219">
        <v>45989</v>
      </c>
      <c r="C75" s="6" t="s">
        <v>41</v>
      </c>
      <c r="D75" s="218" t="s">
        <v>437</v>
      </c>
      <c r="E75" s="10" t="s">
        <v>451</v>
      </c>
      <c r="F75" s="6" t="s">
        <v>464</v>
      </c>
      <c r="G75" s="353" t="s">
        <v>483</v>
      </c>
      <c r="H75" s="231">
        <v>5082</v>
      </c>
      <c r="I75" s="221">
        <v>46034</v>
      </c>
      <c r="J75" s="221" t="s">
        <v>91</v>
      </c>
      <c r="K75" s="218" t="s">
        <v>77</v>
      </c>
      <c r="L75" s="219">
        <v>46025</v>
      </c>
      <c r="M75" s="218" t="str">
        <f>IF(Tabela4[[#This Row],[RECOMPRADO]]="RECEBIDO","LIQUIDADO",IF(O75="LIQUIDADO","LIQUIDADO",IF(I75&lt;$I$5,"VENCIDO","A VENCER")))</f>
        <v>LIQUIDADO</v>
      </c>
      <c r="N75" s="222" t="str">
        <f>IF(Tabela4[[#This Row],[STATUS]]="LIQUIDADO","",Tabela4[[#This Row],[VCTO]]-$I$5)</f>
        <v/>
      </c>
      <c r="O75" s="218" t="s">
        <v>86</v>
      </c>
      <c r="P75" s="219"/>
      <c r="Q75" s="218"/>
      <c r="R75" s="218"/>
      <c r="S75" s="218"/>
      <c r="T75" s="218"/>
      <c r="U75" s="218"/>
      <c r="V75" s="5"/>
    </row>
    <row r="76" spans="1:22">
      <c r="A76" s="218" t="s">
        <v>7</v>
      </c>
      <c r="B76" s="219">
        <v>45989</v>
      </c>
      <c r="C76" s="6" t="s">
        <v>41</v>
      </c>
      <c r="D76" s="5" t="s">
        <v>438</v>
      </c>
      <c r="E76" s="10" t="s">
        <v>452</v>
      </c>
      <c r="F76" s="5" t="s">
        <v>335</v>
      </c>
      <c r="G76" s="353" t="s">
        <v>371</v>
      </c>
      <c r="H76" s="231">
        <v>2945</v>
      </c>
      <c r="I76" s="7">
        <v>46034</v>
      </c>
      <c r="J76" s="221" t="s">
        <v>91</v>
      </c>
      <c r="K76" s="218" t="s">
        <v>77</v>
      </c>
      <c r="L76" s="219">
        <v>46025</v>
      </c>
      <c r="M76" s="218" t="str">
        <f>IF(Tabela4[[#This Row],[RECOMPRADO]]="RECEBIDO","LIQUIDADO",IF(O76="LIQUIDADO","LIQUIDADO",IF(I76&lt;$I$5,"VENCIDO","A VENCER")))</f>
        <v>LIQUIDADO</v>
      </c>
      <c r="N76" s="222" t="str">
        <f>IF(Tabela4[[#This Row],[STATUS]]="LIQUIDADO","",Tabela4[[#This Row],[VCTO]]-$I$5)</f>
        <v/>
      </c>
      <c r="O76" s="218" t="s">
        <v>86</v>
      </c>
      <c r="P76" s="219"/>
      <c r="Q76" s="218"/>
      <c r="R76" s="218"/>
      <c r="S76" s="218"/>
      <c r="T76" s="218"/>
      <c r="U76" s="218"/>
      <c r="V76" s="5"/>
    </row>
    <row r="77" spans="1:22">
      <c r="A77" s="218" t="s">
        <v>0</v>
      </c>
      <c r="B77" s="219">
        <v>45989</v>
      </c>
      <c r="C77" s="6" t="s">
        <v>41</v>
      </c>
      <c r="D77" s="218" t="s">
        <v>435</v>
      </c>
      <c r="E77" s="10" t="s">
        <v>452</v>
      </c>
      <c r="F77" s="6" t="s">
        <v>304</v>
      </c>
      <c r="G77" s="353" t="s">
        <v>358</v>
      </c>
      <c r="H77" s="231">
        <v>1111.8699999999999</v>
      </c>
      <c r="I77" s="221">
        <v>46039</v>
      </c>
      <c r="J77" s="221" t="s">
        <v>91</v>
      </c>
      <c r="K77" s="218" t="s">
        <v>77</v>
      </c>
      <c r="L77" s="219">
        <v>46025</v>
      </c>
      <c r="M77" s="218" t="str">
        <f>IF(Tabela4[[#This Row],[RECOMPRADO]]="RECEBIDO","LIQUIDADO",IF(O77="LIQUIDADO","LIQUIDADO",IF(I77&lt;$I$5,"VENCIDO","A VENCER")))</f>
        <v>LIQUIDADO</v>
      </c>
      <c r="N77" s="222" t="str">
        <f>IF(Tabela4[[#This Row],[STATUS]]="LIQUIDADO","",Tabela4[[#This Row],[VCTO]]-$I$5)</f>
        <v/>
      </c>
      <c r="O77" s="218" t="s">
        <v>86</v>
      </c>
      <c r="P77" s="219"/>
      <c r="Q77" s="218"/>
      <c r="R77" s="218"/>
      <c r="S77" s="218"/>
      <c r="T77" s="218"/>
      <c r="U77" s="218"/>
      <c r="V77" s="5"/>
    </row>
    <row r="78" spans="1:22">
      <c r="A78" s="218" t="s">
        <v>0</v>
      </c>
      <c r="B78" s="219">
        <v>45989</v>
      </c>
      <c r="C78" s="6" t="s">
        <v>43</v>
      </c>
      <c r="D78" s="5" t="s">
        <v>435</v>
      </c>
      <c r="E78" s="10" t="s">
        <v>452</v>
      </c>
      <c r="F78" s="5" t="s">
        <v>304</v>
      </c>
      <c r="G78" s="354" t="s">
        <v>358</v>
      </c>
      <c r="H78" s="231">
        <v>1111.95</v>
      </c>
      <c r="I78" s="7">
        <v>46039</v>
      </c>
      <c r="J78" s="221" t="s">
        <v>91</v>
      </c>
      <c r="K78" s="218" t="s">
        <v>77</v>
      </c>
      <c r="L78" s="219">
        <v>46025</v>
      </c>
      <c r="M78" s="218" t="str">
        <f>IF(Tabela4[[#This Row],[RECOMPRADO]]="RECEBIDO","LIQUIDADO",IF(O78="LIQUIDADO","LIQUIDADO",IF(I78&lt;$I$5,"VENCIDO","A VENCER")))</f>
        <v>LIQUIDADO</v>
      </c>
      <c r="N78" s="222" t="str">
        <f>IF(Tabela4[[#This Row],[STATUS]]="LIQUIDADO","",Tabela4[[#This Row],[VCTO]]-$I$5)</f>
        <v/>
      </c>
      <c r="O78" s="218" t="s">
        <v>86</v>
      </c>
      <c r="P78" s="219"/>
      <c r="Q78" s="218"/>
      <c r="R78" s="218"/>
      <c r="S78" s="218"/>
      <c r="T78" s="218"/>
      <c r="U78" s="218"/>
      <c r="V78" s="5"/>
    </row>
    <row r="79" spans="1:22">
      <c r="A79" s="218" t="s">
        <v>0</v>
      </c>
      <c r="B79" s="219">
        <v>45989</v>
      </c>
      <c r="C79" s="6" t="s">
        <v>41</v>
      </c>
      <c r="D79" s="5" t="s">
        <v>434</v>
      </c>
      <c r="E79" s="10" t="s">
        <v>452</v>
      </c>
      <c r="F79" s="5" t="s">
        <v>467</v>
      </c>
      <c r="G79" s="354" t="s">
        <v>531</v>
      </c>
      <c r="H79" s="231">
        <v>1056.25</v>
      </c>
      <c r="I79" s="7">
        <v>46034</v>
      </c>
      <c r="J79" s="221" t="s">
        <v>91</v>
      </c>
      <c r="K79" s="218" t="s">
        <v>77</v>
      </c>
      <c r="L79" s="219">
        <v>46025</v>
      </c>
      <c r="M79" s="218" t="str">
        <f>IF(Tabela4[[#This Row],[RECOMPRADO]]="RECEBIDO","LIQUIDADO",IF(O79="LIQUIDADO","LIQUIDADO",IF(I79&lt;$I$5,"VENCIDO","A VENCER")))</f>
        <v>LIQUIDADO</v>
      </c>
      <c r="N79" s="222" t="str">
        <f>IF(Tabela4[[#This Row],[STATUS]]="LIQUIDADO","",Tabela4[[#This Row],[VCTO]]-$I$5)</f>
        <v/>
      </c>
      <c r="O79" s="218" t="s">
        <v>86</v>
      </c>
      <c r="P79" s="219"/>
      <c r="Q79" s="218"/>
      <c r="R79" s="218"/>
      <c r="S79" s="218"/>
      <c r="T79" s="218"/>
      <c r="U79" s="218"/>
      <c r="V79" s="5"/>
    </row>
    <row r="80" spans="1:22">
      <c r="A80" s="218" t="s">
        <v>0</v>
      </c>
      <c r="B80" s="219">
        <v>45989</v>
      </c>
      <c r="C80" s="6" t="s">
        <v>43</v>
      </c>
      <c r="D80" s="218" t="s">
        <v>434</v>
      </c>
      <c r="E80" s="10" t="s">
        <v>452</v>
      </c>
      <c r="F80" s="6" t="s">
        <v>467</v>
      </c>
      <c r="G80" s="354" t="s">
        <v>531</v>
      </c>
      <c r="H80" s="231">
        <v>1056.25</v>
      </c>
      <c r="I80" s="221">
        <v>46034</v>
      </c>
      <c r="J80" s="221" t="s">
        <v>91</v>
      </c>
      <c r="K80" s="218" t="s">
        <v>77</v>
      </c>
      <c r="L80" s="219">
        <v>46025</v>
      </c>
      <c r="M80" s="218" t="str">
        <f>IF(Tabela4[[#This Row],[RECOMPRADO]]="RECEBIDO","LIQUIDADO",IF(O80="LIQUIDADO","LIQUIDADO",IF(I80&lt;$I$5,"VENCIDO","A VENCER")))</f>
        <v>LIQUIDADO</v>
      </c>
      <c r="N80" s="222" t="str">
        <f>IF(Tabela4[[#This Row],[STATUS]]="LIQUIDADO","",Tabela4[[#This Row],[VCTO]]-$I$5)</f>
        <v/>
      </c>
      <c r="O80" s="218" t="s">
        <v>86</v>
      </c>
      <c r="P80" s="219"/>
      <c r="Q80" s="218"/>
      <c r="R80" s="218"/>
      <c r="S80" s="218"/>
      <c r="T80" s="218"/>
      <c r="U80" s="218"/>
      <c r="V80" s="5"/>
    </row>
    <row r="81" spans="1:22">
      <c r="A81" s="227" t="s">
        <v>0</v>
      </c>
      <c r="B81" s="229">
        <v>45994</v>
      </c>
      <c r="C81" s="6" t="s">
        <v>41</v>
      </c>
      <c r="D81" s="230" t="s">
        <v>284</v>
      </c>
      <c r="E81" s="10" t="s">
        <v>98</v>
      </c>
      <c r="F81" s="5" t="s">
        <v>296</v>
      </c>
      <c r="G81" s="225" t="s">
        <v>379</v>
      </c>
      <c r="H81" s="38">
        <v>673.6</v>
      </c>
      <c r="I81" s="7">
        <v>46044</v>
      </c>
      <c r="J81" s="7" t="s">
        <v>91</v>
      </c>
      <c r="K81" s="218" t="s">
        <v>75</v>
      </c>
      <c r="L81" s="219">
        <v>46026</v>
      </c>
      <c r="M81" s="218" t="s">
        <v>86</v>
      </c>
      <c r="N81" s="211" t="str">
        <f>IF(Tabela4[[#This Row],[STATUS]]="LIQUIDADO","",Tabela4[[#This Row],[VCTO]]-$I$5)</f>
        <v/>
      </c>
      <c r="O81" s="5" t="s">
        <v>86</v>
      </c>
      <c r="P81" s="6"/>
      <c r="Q81" s="5"/>
      <c r="R81" s="5"/>
      <c r="S81" s="5"/>
      <c r="T81" s="5"/>
      <c r="U81" s="5"/>
      <c r="V81" s="5"/>
    </row>
    <row r="82" spans="1:22">
      <c r="A82" s="218" t="s">
        <v>108</v>
      </c>
      <c r="B82" s="219">
        <v>45994</v>
      </c>
      <c r="C82" s="6" t="s">
        <v>41</v>
      </c>
      <c r="D82" s="230" t="s">
        <v>285</v>
      </c>
      <c r="E82" s="10" t="s">
        <v>96</v>
      </c>
      <c r="F82" s="5" t="s">
        <v>297</v>
      </c>
      <c r="G82" s="225" t="s">
        <v>366</v>
      </c>
      <c r="H82" s="38">
        <v>2661.4</v>
      </c>
      <c r="I82" s="7">
        <v>46045</v>
      </c>
      <c r="J82" s="7" t="s">
        <v>91</v>
      </c>
      <c r="K82" s="218" t="s">
        <v>75</v>
      </c>
      <c r="L82" s="219">
        <v>46026</v>
      </c>
      <c r="M82" s="218" t="str">
        <f>IF(Tabela4[[#This Row],[RECOMPRADO]]="RECEBIDO","LIQUIDADO",IF(O82="LIQUIDADO","LIQUIDADO",IF(I82&lt;$I$5,"VENCIDO","A VENCER")))</f>
        <v>LIQUIDADO</v>
      </c>
      <c r="N82" s="222" t="str">
        <f>IF(Tabela4[[#This Row],[STATUS]]="LIQUIDADO","",Tabela4[[#This Row],[VCTO]]-$I$5)</f>
        <v/>
      </c>
      <c r="O82" s="5" t="s">
        <v>86</v>
      </c>
      <c r="P82" s="219"/>
      <c r="Q82" s="218"/>
      <c r="R82" s="218"/>
      <c r="S82" s="218"/>
      <c r="T82" s="218"/>
      <c r="U82" s="218"/>
      <c r="V82" s="5"/>
    </row>
    <row r="83" spans="1:22">
      <c r="A83" s="218" t="s">
        <v>0</v>
      </c>
      <c r="B83" s="219">
        <v>45994</v>
      </c>
      <c r="C83" s="6" t="s">
        <v>41</v>
      </c>
      <c r="D83" s="230" t="s">
        <v>284</v>
      </c>
      <c r="E83" s="10" t="s">
        <v>97</v>
      </c>
      <c r="F83" s="5" t="s">
        <v>296</v>
      </c>
      <c r="G83" s="225" t="s">
        <v>379</v>
      </c>
      <c r="H83" s="38">
        <v>673.6</v>
      </c>
      <c r="I83" s="7">
        <v>46037</v>
      </c>
      <c r="J83" s="7" t="s">
        <v>91</v>
      </c>
      <c r="K83" s="218" t="s">
        <v>75</v>
      </c>
      <c r="L83" s="219">
        <v>46026</v>
      </c>
      <c r="M83" s="218" t="str">
        <f>IF(Tabela4[[#This Row],[RECOMPRADO]]="RECEBIDO","LIQUIDADO",IF(O83="LIQUIDADO","LIQUIDADO",IF(I83&lt;$I$5,"VENCIDO","A VENCER")))</f>
        <v>LIQUIDADO</v>
      </c>
      <c r="N83" s="222" t="str">
        <f>IF(Tabela4[[#This Row],[STATUS]]="LIQUIDADO","",Tabela4[[#This Row],[VCTO]]-$I$5)</f>
        <v/>
      </c>
      <c r="O83" s="5" t="s">
        <v>86</v>
      </c>
      <c r="P83" s="219"/>
      <c r="Q83" s="218"/>
      <c r="R83" s="218"/>
      <c r="S83" s="218"/>
      <c r="T83" s="218"/>
      <c r="U83" s="218"/>
      <c r="V83" s="5"/>
    </row>
    <row r="84" spans="1:22">
      <c r="A84" s="218" t="s">
        <v>0</v>
      </c>
      <c r="B84" s="219">
        <v>45994</v>
      </c>
      <c r="C84" s="6" t="s">
        <v>41</v>
      </c>
      <c r="D84" s="230" t="s">
        <v>286</v>
      </c>
      <c r="E84" s="10" t="s">
        <v>96</v>
      </c>
      <c r="F84" s="5" t="s">
        <v>298</v>
      </c>
      <c r="G84" s="225" t="s">
        <v>380</v>
      </c>
      <c r="H84" s="38">
        <v>2021.66</v>
      </c>
      <c r="I84" s="7">
        <v>46037</v>
      </c>
      <c r="J84" s="7" t="s">
        <v>91</v>
      </c>
      <c r="K84" s="218" t="s">
        <v>75</v>
      </c>
      <c r="L84" s="219">
        <v>46026</v>
      </c>
      <c r="M84" s="218" t="str">
        <f>IF(Tabela4[[#This Row],[RECOMPRADO]]="RECEBIDO","LIQUIDADO",IF(O84="LIQUIDADO","LIQUIDADO",IF(I84&lt;$I$5,"VENCIDO","A VENCER")))</f>
        <v>LIQUIDADO</v>
      </c>
      <c r="N84" s="222" t="str">
        <f>IF(Tabela4[[#This Row],[STATUS]]="LIQUIDADO","",Tabela4[[#This Row],[VCTO]]-$I$5)</f>
        <v/>
      </c>
      <c r="O84" s="5" t="s">
        <v>86</v>
      </c>
      <c r="P84" s="219"/>
      <c r="Q84" s="218"/>
      <c r="R84" s="218"/>
      <c r="S84" s="218"/>
      <c r="T84" s="218"/>
      <c r="U84" s="218"/>
      <c r="V84" s="5"/>
    </row>
    <row r="85" spans="1:22">
      <c r="A85" s="5" t="s">
        <v>108</v>
      </c>
      <c r="B85" s="6">
        <v>45994</v>
      </c>
      <c r="C85" s="5" t="s">
        <v>41</v>
      </c>
      <c r="D85" s="6" t="s">
        <v>285</v>
      </c>
      <c r="E85" s="10" t="s">
        <v>95</v>
      </c>
      <c r="F85" s="5" t="s">
        <v>297</v>
      </c>
      <c r="G85" s="225" t="s">
        <v>366</v>
      </c>
      <c r="H85" s="38">
        <v>2661.4</v>
      </c>
      <c r="I85" s="7">
        <v>46034</v>
      </c>
      <c r="J85" s="7" t="s">
        <v>91</v>
      </c>
      <c r="K85" s="218" t="s">
        <v>75</v>
      </c>
      <c r="L85" s="219">
        <v>46026</v>
      </c>
      <c r="M85" s="218" t="str">
        <f>IF(Tabela4[[#This Row],[RECOMPRADO]]="RECEBIDO","LIQUIDADO",IF(O85="LIQUIDADO","LIQUIDADO",IF(I85&lt;$I$5,"VENCIDO","A VENCER")))</f>
        <v>LIQUIDADO</v>
      </c>
      <c r="N85" s="222" t="str">
        <f>IF(Tabela4[[#This Row],[STATUS]]="LIQUIDADO","",Tabela4[[#This Row],[VCTO]]-$I$5)</f>
        <v/>
      </c>
      <c r="O85" s="5" t="s">
        <v>86</v>
      </c>
      <c r="P85" s="219"/>
      <c r="Q85" s="218"/>
      <c r="R85" s="218"/>
      <c r="S85" s="218"/>
      <c r="T85" s="218"/>
      <c r="U85" s="218"/>
      <c r="V85" s="5"/>
    </row>
    <row r="86" spans="1:22">
      <c r="A86" s="5" t="s">
        <v>0</v>
      </c>
      <c r="B86" s="6">
        <v>45994</v>
      </c>
      <c r="C86" s="5" t="s">
        <v>41</v>
      </c>
      <c r="D86" s="6" t="s">
        <v>284</v>
      </c>
      <c r="E86" s="10" t="s">
        <v>96</v>
      </c>
      <c r="F86" s="5" t="s">
        <v>296</v>
      </c>
      <c r="G86" s="225" t="s">
        <v>379</v>
      </c>
      <c r="H86" s="38">
        <v>673.6</v>
      </c>
      <c r="I86" s="7">
        <v>46030</v>
      </c>
      <c r="J86" s="7" t="s">
        <v>91</v>
      </c>
      <c r="K86" s="218" t="s">
        <v>75</v>
      </c>
      <c r="L86" s="219">
        <v>46026</v>
      </c>
      <c r="M86" s="218" t="str">
        <f>IF(Tabela4[[#This Row],[RECOMPRADO]]="RECEBIDO","LIQUIDADO",IF(O86="LIQUIDADO","LIQUIDADO",IF(I86&lt;$I$5,"VENCIDO","A VENCER")))</f>
        <v>LIQUIDADO</v>
      </c>
      <c r="N86" s="222" t="str">
        <f>IF(Tabela4[[#This Row],[STATUS]]="LIQUIDADO","",Tabela4[[#This Row],[VCTO]]-$I$5)</f>
        <v/>
      </c>
      <c r="O86" s="5" t="s">
        <v>86</v>
      </c>
      <c r="P86" s="219"/>
      <c r="Q86" s="218"/>
      <c r="R86" s="218"/>
      <c r="S86" s="218"/>
      <c r="T86" s="218"/>
      <c r="U86" s="218"/>
      <c r="V86" s="5"/>
    </row>
    <row r="87" spans="1:22">
      <c r="A87" s="5" t="s">
        <v>0</v>
      </c>
      <c r="B87" s="6">
        <v>45994</v>
      </c>
      <c r="C87" s="5" t="s">
        <v>41</v>
      </c>
      <c r="D87" s="6" t="s">
        <v>286</v>
      </c>
      <c r="E87" s="10" t="s">
        <v>95</v>
      </c>
      <c r="F87" s="5" t="s">
        <v>298</v>
      </c>
      <c r="G87" s="225" t="s">
        <v>380</v>
      </c>
      <c r="H87" s="38">
        <v>2021.67</v>
      </c>
      <c r="I87" s="7">
        <v>46030</v>
      </c>
      <c r="J87" s="7" t="s">
        <v>91</v>
      </c>
      <c r="K87" s="218" t="s">
        <v>75</v>
      </c>
      <c r="L87" s="219">
        <v>46026</v>
      </c>
      <c r="M87" s="218" t="str">
        <f>IF(Tabela4[[#This Row],[RECOMPRADO]]="RECEBIDO","LIQUIDADO",IF(O87="LIQUIDADO","LIQUIDADO",IF(I87&lt;$I$5,"VENCIDO","A VENCER")))</f>
        <v>LIQUIDADO</v>
      </c>
      <c r="N87" s="222" t="str">
        <f>IF(Tabela4[[#This Row],[STATUS]]="LIQUIDADO","",Tabela4[[#This Row],[VCTO]]-$I$5)</f>
        <v/>
      </c>
      <c r="O87" s="5" t="s">
        <v>86</v>
      </c>
      <c r="P87" s="219"/>
      <c r="Q87" s="218"/>
      <c r="R87" s="218"/>
      <c r="S87" s="218"/>
      <c r="T87" s="218"/>
      <c r="U87" s="218"/>
      <c r="V87" s="5"/>
    </row>
    <row r="88" spans="1:22">
      <c r="A88" s="5" t="s">
        <v>108</v>
      </c>
      <c r="B88" s="6">
        <v>45994</v>
      </c>
      <c r="C88" s="5" t="s">
        <v>41</v>
      </c>
      <c r="D88" s="6" t="s">
        <v>285</v>
      </c>
      <c r="E88" s="10" t="s">
        <v>92</v>
      </c>
      <c r="F88" s="5" t="s">
        <v>297</v>
      </c>
      <c r="G88" s="225" t="s">
        <v>366</v>
      </c>
      <c r="H88" s="38">
        <v>3466.2</v>
      </c>
      <c r="I88" s="7">
        <v>46027</v>
      </c>
      <c r="J88" s="7" t="s">
        <v>91</v>
      </c>
      <c r="K88" s="218" t="s">
        <v>75</v>
      </c>
      <c r="L88" s="219">
        <v>46026</v>
      </c>
      <c r="M88" s="218" t="str">
        <f>IF(Tabela4[[#This Row],[RECOMPRADO]]="RECEBIDO","LIQUIDADO",IF(O88="LIQUIDADO","LIQUIDADO",IF(I88&lt;$I$5,"VENCIDO","A VENCER")))</f>
        <v>LIQUIDADO</v>
      </c>
      <c r="N88" s="222" t="str">
        <f>IF(Tabela4[[#This Row],[STATUS]]="LIQUIDADO","",Tabela4[[#This Row],[VCTO]]-$I$5)</f>
        <v/>
      </c>
      <c r="O88" s="5" t="s">
        <v>86</v>
      </c>
      <c r="P88" s="219"/>
      <c r="Q88" s="218"/>
      <c r="R88" s="218"/>
      <c r="S88" s="218"/>
      <c r="T88" s="218"/>
      <c r="U88" s="218"/>
      <c r="V88" s="5"/>
    </row>
    <row r="89" spans="1:22">
      <c r="A89" s="5" t="s">
        <v>108</v>
      </c>
      <c r="B89" s="6">
        <v>45994</v>
      </c>
      <c r="C89" s="5" t="s">
        <v>41</v>
      </c>
      <c r="D89" s="6" t="s">
        <v>287</v>
      </c>
      <c r="E89" s="10" t="s">
        <v>92</v>
      </c>
      <c r="F89" s="5" t="s">
        <v>299</v>
      </c>
      <c r="G89" s="225" t="s">
        <v>66</v>
      </c>
      <c r="H89" s="38">
        <v>15000</v>
      </c>
      <c r="I89" s="7">
        <v>46048</v>
      </c>
      <c r="J89" s="7" t="s">
        <v>91</v>
      </c>
      <c r="K89" s="218" t="s">
        <v>75</v>
      </c>
      <c r="L89" s="219">
        <v>46026</v>
      </c>
      <c r="M89" s="218" t="str">
        <f>IF(Tabela4[[#This Row],[RECOMPRADO]]="RECEBIDO","LIQUIDADO",IF(O89="LIQUIDADO","LIQUIDADO",IF(I89&lt;$I$5,"VENCIDO","A VENCER")))</f>
        <v>LIQUIDADO</v>
      </c>
      <c r="N89" s="222" t="str">
        <f>IF(Tabela4[[#This Row],[STATUS]]="LIQUIDADO","",Tabela4[[#This Row],[VCTO]]-$I$5)</f>
        <v/>
      </c>
      <c r="O89" s="5" t="s">
        <v>86</v>
      </c>
      <c r="P89" s="219"/>
      <c r="Q89" s="218"/>
      <c r="R89" s="218"/>
      <c r="S89" s="218"/>
      <c r="T89" s="218"/>
      <c r="U89" s="218"/>
      <c r="V89" s="5"/>
    </row>
    <row r="90" spans="1:22">
      <c r="A90" s="5" t="s">
        <v>108</v>
      </c>
      <c r="B90" s="6">
        <v>45994</v>
      </c>
      <c r="C90" s="6" t="s">
        <v>41</v>
      </c>
      <c r="D90" s="5" t="s">
        <v>305</v>
      </c>
      <c r="E90" s="10" t="s">
        <v>95</v>
      </c>
      <c r="F90" s="5" t="s">
        <v>311</v>
      </c>
      <c r="G90" s="225" t="s">
        <v>145</v>
      </c>
      <c r="H90" s="38">
        <v>1962.5</v>
      </c>
      <c r="I90" s="7">
        <v>46034</v>
      </c>
      <c r="J90" s="7" t="s">
        <v>91</v>
      </c>
      <c r="K90" s="218" t="s">
        <v>76</v>
      </c>
      <c r="L90" s="6">
        <v>46037</v>
      </c>
      <c r="M90" s="218" t="str">
        <f>IF(Tabela4[[#This Row],[RECOMPRADO]]="RECEBIDO","LIQUIDADO",IF(O90="LIQUIDADO","LIQUIDADO",IF(I90&lt;$I$5,"VENCIDO","A VENCER")))</f>
        <v>LIQUIDADO</v>
      </c>
      <c r="N90" s="222" t="str">
        <f>IF(Tabela4[[#This Row],[STATUS]]="LIQUIDADO","",Tabela4[[#This Row],[VCTO]]-$I$5)</f>
        <v/>
      </c>
      <c r="O90" s="218" t="s">
        <v>86</v>
      </c>
      <c r="P90" s="219"/>
      <c r="Q90" s="218"/>
      <c r="R90" s="218"/>
      <c r="S90" s="218"/>
      <c r="T90" s="218"/>
      <c r="U90" s="218"/>
      <c r="V90" s="5"/>
    </row>
    <row r="91" spans="1:22">
      <c r="A91" s="5" t="s">
        <v>108</v>
      </c>
      <c r="B91" s="6">
        <v>45994</v>
      </c>
      <c r="C91" s="6" t="s">
        <v>41</v>
      </c>
      <c r="D91" s="5" t="s">
        <v>306</v>
      </c>
      <c r="E91" s="10" t="s">
        <v>95</v>
      </c>
      <c r="F91" s="5" t="s">
        <v>312</v>
      </c>
      <c r="G91" s="225" t="s">
        <v>369</v>
      </c>
      <c r="H91" s="38">
        <v>5850</v>
      </c>
      <c r="I91" s="7">
        <v>46034</v>
      </c>
      <c r="J91" s="7" t="s">
        <v>91</v>
      </c>
      <c r="K91" s="218" t="s">
        <v>76</v>
      </c>
      <c r="L91" s="6">
        <v>46037</v>
      </c>
      <c r="M91" s="218" t="str">
        <f>IF(Tabela4[[#This Row],[RECOMPRADO]]="RECEBIDO","LIQUIDADO",IF(O91="LIQUIDADO","LIQUIDADO",IF(I91&lt;$I$5,"VENCIDO","A VENCER")))</f>
        <v>LIQUIDADO</v>
      </c>
      <c r="N91" s="222" t="str">
        <f>IF(Tabela4[[#This Row],[STATUS]]="LIQUIDADO","",Tabela4[[#This Row],[VCTO]]-$I$5)</f>
        <v/>
      </c>
      <c r="O91" s="218" t="s">
        <v>86</v>
      </c>
      <c r="P91" s="219"/>
      <c r="Q91" s="218"/>
      <c r="R91" s="218"/>
      <c r="S91" s="218"/>
      <c r="T91" s="218"/>
      <c r="U91" s="218"/>
      <c r="V91" s="5"/>
    </row>
    <row r="92" spans="1:22">
      <c r="A92" s="5" t="s">
        <v>108</v>
      </c>
      <c r="B92" s="6">
        <v>45994</v>
      </c>
      <c r="C92" s="6" t="s">
        <v>41</v>
      </c>
      <c r="D92" s="5" t="s">
        <v>305</v>
      </c>
      <c r="E92" s="10" t="s">
        <v>92</v>
      </c>
      <c r="F92" s="5" t="s">
        <v>311</v>
      </c>
      <c r="G92" s="225" t="s">
        <v>145</v>
      </c>
      <c r="H92" s="38">
        <v>2536.89</v>
      </c>
      <c r="I92" s="7">
        <v>46027</v>
      </c>
      <c r="J92" s="7" t="s">
        <v>91</v>
      </c>
      <c r="K92" s="218" t="s">
        <v>76</v>
      </c>
      <c r="L92" s="6">
        <v>46037</v>
      </c>
      <c r="M92" s="218" t="str">
        <f>IF(Tabela4[[#This Row],[RECOMPRADO]]="RECEBIDO","LIQUIDADO",IF(O92="LIQUIDADO","LIQUIDADO",IF(I92&lt;$I$5,"VENCIDO","A VENCER")))</f>
        <v>LIQUIDADO</v>
      </c>
      <c r="N92" s="222" t="str">
        <f>IF(Tabela4[[#This Row],[STATUS]]="LIQUIDADO","",Tabela4[[#This Row],[VCTO]]-$I$5)</f>
        <v/>
      </c>
      <c r="O92" s="218" t="s">
        <v>86</v>
      </c>
      <c r="P92" s="219"/>
      <c r="Q92" s="218"/>
      <c r="R92" s="218"/>
      <c r="S92" s="218"/>
      <c r="T92" s="218"/>
      <c r="U92" s="218"/>
      <c r="V92" s="5"/>
    </row>
    <row r="93" spans="1:22">
      <c r="A93" s="5" t="s">
        <v>0</v>
      </c>
      <c r="B93" s="6">
        <v>45994</v>
      </c>
      <c r="C93" s="6" t="s">
        <v>41</v>
      </c>
      <c r="D93" s="5" t="s">
        <v>284</v>
      </c>
      <c r="E93" s="10" t="s">
        <v>98</v>
      </c>
      <c r="F93" s="5" t="s">
        <v>296</v>
      </c>
      <c r="G93" s="225" t="s">
        <v>379</v>
      </c>
      <c r="H93" s="38">
        <v>673.6</v>
      </c>
      <c r="I93" s="7">
        <v>46044</v>
      </c>
      <c r="J93" s="7" t="s">
        <v>91</v>
      </c>
      <c r="K93" s="218" t="s">
        <v>77</v>
      </c>
      <c r="L93" s="219">
        <v>46025</v>
      </c>
      <c r="M93" s="218" t="str">
        <f>IF(Tabela4[[#This Row],[RECOMPRADO]]="RECEBIDO","LIQUIDADO",IF(O93="LIQUIDADO","LIQUIDADO",IF(I93&lt;$I$5,"VENCIDO","A VENCER")))</f>
        <v>LIQUIDADO</v>
      </c>
      <c r="N93" s="222" t="str">
        <f>IF(Tabela4[[#This Row],[STATUS]]="LIQUIDADO","",Tabela4[[#This Row],[VCTO]]-$I$5)</f>
        <v/>
      </c>
      <c r="O93" s="218" t="s">
        <v>86</v>
      </c>
      <c r="P93" s="219"/>
      <c r="Q93" s="218"/>
      <c r="R93" s="218"/>
      <c r="S93" s="218"/>
      <c r="T93" s="218"/>
      <c r="U93" s="218"/>
      <c r="V93" s="5"/>
    </row>
    <row r="94" spans="1:22">
      <c r="A94" s="5" t="s">
        <v>0</v>
      </c>
      <c r="B94" s="6">
        <v>45994</v>
      </c>
      <c r="C94" s="6" t="s">
        <v>41</v>
      </c>
      <c r="D94" s="5" t="s">
        <v>284</v>
      </c>
      <c r="E94" s="10" t="s">
        <v>96</v>
      </c>
      <c r="F94" s="5" t="s">
        <v>296</v>
      </c>
      <c r="G94" s="225" t="s">
        <v>379</v>
      </c>
      <c r="H94" s="38">
        <v>673.6</v>
      </c>
      <c r="I94" s="7">
        <v>46030</v>
      </c>
      <c r="J94" s="7" t="s">
        <v>91</v>
      </c>
      <c r="K94" s="218" t="s">
        <v>77</v>
      </c>
      <c r="L94" s="219">
        <v>46025</v>
      </c>
      <c r="M94" s="218" t="str">
        <f>IF(Tabela4[[#This Row],[RECOMPRADO]]="RECEBIDO","LIQUIDADO",IF(O94="LIQUIDADO","LIQUIDADO",IF(I94&lt;$I$5,"VENCIDO","A VENCER")))</f>
        <v>LIQUIDADO</v>
      </c>
      <c r="N94" s="222" t="str">
        <f>IF(Tabela4[[#This Row],[STATUS]]="LIQUIDADO","",Tabela4[[#This Row],[VCTO]]-$I$5)</f>
        <v/>
      </c>
      <c r="O94" s="218" t="s">
        <v>86</v>
      </c>
      <c r="P94" s="219"/>
      <c r="Q94" s="218"/>
      <c r="R94" s="218"/>
      <c r="S94" s="218"/>
      <c r="T94" s="218"/>
      <c r="U94" s="218"/>
      <c r="V94" s="5"/>
    </row>
    <row r="95" spans="1:22">
      <c r="A95" s="5" t="s">
        <v>0</v>
      </c>
      <c r="B95" s="6">
        <v>45994</v>
      </c>
      <c r="C95" s="6" t="s">
        <v>41</v>
      </c>
      <c r="D95" s="5" t="s">
        <v>284</v>
      </c>
      <c r="E95" s="10" t="s">
        <v>97</v>
      </c>
      <c r="F95" s="5" t="s">
        <v>296</v>
      </c>
      <c r="G95" s="225" t="s">
        <v>379</v>
      </c>
      <c r="H95" s="38">
        <v>673.6</v>
      </c>
      <c r="I95" s="7">
        <v>46037</v>
      </c>
      <c r="J95" s="7" t="s">
        <v>91</v>
      </c>
      <c r="K95" s="218" t="s">
        <v>77</v>
      </c>
      <c r="L95" s="219">
        <v>46025</v>
      </c>
      <c r="M95" s="218" t="str">
        <f>IF(Tabela4[[#This Row],[RECOMPRADO]]="RECEBIDO","LIQUIDADO",IF(O95="LIQUIDADO","LIQUIDADO",IF(I95&lt;$I$5,"VENCIDO","A VENCER")))</f>
        <v>LIQUIDADO</v>
      </c>
      <c r="N95" s="222" t="str">
        <f>IF(Tabela4[[#This Row],[STATUS]]="LIQUIDADO","",Tabela4[[#This Row],[VCTO]]-$I$5)</f>
        <v/>
      </c>
      <c r="O95" s="218" t="s">
        <v>86</v>
      </c>
      <c r="P95" s="219"/>
      <c r="Q95" s="218"/>
      <c r="R95" s="218"/>
      <c r="S95" s="218"/>
      <c r="T95" s="218"/>
      <c r="U95" s="218"/>
      <c r="V95" s="5"/>
    </row>
    <row r="96" spans="1:22">
      <c r="A96" s="5" t="s">
        <v>0</v>
      </c>
      <c r="B96" s="6">
        <v>45994</v>
      </c>
      <c r="C96" s="6" t="s">
        <v>43</v>
      </c>
      <c r="D96" s="5" t="s">
        <v>313</v>
      </c>
      <c r="E96" s="10" t="s">
        <v>95</v>
      </c>
      <c r="F96" s="5" t="s">
        <v>332</v>
      </c>
      <c r="G96" s="225" t="s">
        <v>384</v>
      </c>
      <c r="H96" s="38">
        <v>812.03</v>
      </c>
      <c r="I96" s="7">
        <v>46039</v>
      </c>
      <c r="J96" s="7" t="s">
        <v>91</v>
      </c>
      <c r="K96" s="218" t="s">
        <v>77</v>
      </c>
      <c r="L96" s="219">
        <v>46025</v>
      </c>
      <c r="M96" s="218" t="str">
        <f>IF(Tabela4[[#This Row],[RECOMPRADO]]="RECEBIDO","LIQUIDADO",IF(O96="LIQUIDADO","LIQUIDADO",IF(I96&lt;$I$5,"VENCIDO","A VENCER")))</f>
        <v>LIQUIDADO</v>
      </c>
      <c r="N96" s="222" t="str">
        <f>IF(Tabela4[[#This Row],[STATUS]]="LIQUIDADO","",Tabela4[[#This Row],[VCTO]]-$I$5)</f>
        <v/>
      </c>
      <c r="O96" s="218" t="s">
        <v>86</v>
      </c>
      <c r="P96" s="219"/>
      <c r="Q96" s="218"/>
      <c r="R96" s="218"/>
      <c r="S96" s="218"/>
      <c r="T96" s="218"/>
      <c r="U96" s="218"/>
      <c r="V96" s="5"/>
    </row>
    <row r="97" spans="1:22">
      <c r="A97" s="5" t="s">
        <v>0</v>
      </c>
      <c r="B97" s="6">
        <v>45994</v>
      </c>
      <c r="C97" s="6" t="s">
        <v>41</v>
      </c>
      <c r="D97" s="5" t="s">
        <v>313</v>
      </c>
      <c r="E97" s="10" t="s">
        <v>95</v>
      </c>
      <c r="F97" s="5" t="s">
        <v>332</v>
      </c>
      <c r="G97" s="225" t="s">
        <v>384</v>
      </c>
      <c r="H97" s="38">
        <v>756.66</v>
      </c>
      <c r="I97" s="7">
        <v>46039</v>
      </c>
      <c r="J97" s="7" t="s">
        <v>91</v>
      </c>
      <c r="K97" s="218" t="s">
        <v>77</v>
      </c>
      <c r="L97" s="219">
        <v>46025</v>
      </c>
      <c r="M97" s="218" t="str">
        <f>IF(Tabela4[[#This Row],[RECOMPRADO]]="RECEBIDO","LIQUIDADO",IF(O97="LIQUIDADO","LIQUIDADO",IF(I97&lt;$I$5,"VENCIDO","A VENCER")))</f>
        <v>LIQUIDADO</v>
      </c>
      <c r="N97" s="222" t="str">
        <f>IF(Tabela4[[#This Row],[STATUS]]="LIQUIDADO","",Tabela4[[#This Row],[VCTO]]-$I$5)</f>
        <v/>
      </c>
      <c r="O97" s="218" t="s">
        <v>86</v>
      </c>
      <c r="P97" s="219"/>
      <c r="Q97" s="218"/>
      <c r="R97" s="218"/>
      <c r="S97" s="218"/>
      <c r="T97" s="218"/>
      <c r="U97" s="218"/>
      <c r="V97" s="5"/>
    </row>
    <row r="98" spans="1:22">
      <c r="A98" s="5" t="s">
        <v>0</v>
      </c>
      <c r="B98" s="6">
        <v>45994</v>
      </c>
      <c r="C98" s="6" t="s">
        <v>41</v>
      </c>
      <c r="D98" s="5" t="s">
        <v>313</v>
      </c>
      <c r="E98" s="10" t="s">
        <v>92</v>
      </c>
      <c r="F98" s="5" t="s">
        <v>332</v>
      </c>
      <c r="G98" s="225" t="s">
        <v>384</v>
      </c>
      <c r="H98" s="38">
        <v>812.03</v>
      </c>
      <c r="I98" s="7">
        <v>46019</v>
      </c>
      <c r="J98" s="7" t="s">
        <v>91</v>
      </c>
      <c r="K98" s="218" t="s">
        <v>77</v>
      </c>
      <c r="L98" s="219">
        <v>46025</v>
      </c>
      <c r="M98" s="218" t="str">
        <f>IF(Tabela4[[#This Row],[RECOMPRADO]]="RECEBIDO","LIQUIDADO",IF(O98="LIQUIDADO","LIQUIDADO",IF(I98&lt;$I$5,"VENCIDO","A VENCER")))</f>
        <v>LIQUIDADO</v>
      </c>
      <c r="N98" s="222" t="str">
        <f>IF(Tabela4[[#This Row],[STATUS]]="LIQUIDADO","",Tabela4[[#This Row],[VCTO]]-$I$5)</f>
        <v/>
      </c>
      <c r="O98" s="218" t="s">
        <v>86</v>
      </c>
      <c r="P98" s="219"/>
      <c r="Q98" s="218"/>
      <c r="R98" s="218"/>
      <c r="S98" s="218"/>
      <c r="T98" s="218"/>
      <c r="U98" s="218"/>
      <c r="V98" s="5"/>
    </row>
    <row r="99" spans="1:22">
      <c r="A99" s="5" t="s">
        <v>0</v>
      </c>
      <c r="B99" s="6">
        <v>45994</v>
      </c>
      <c r="C99" s="6" t="s">
        <v>43</v>
      </c>
      <c r="D99" s="5" t="s">
        <v>313</v>
      </c>
      <c r="E99" s="10" t="s">
        <v>92</v>
      </c>
      <c r="F99" s="5" t="s">
        <v>332</v>
      </c>
      <c r="G99" s="225" t="s">
        <v>384</v>
      </c>
      <c r="H99" s="38">
        <v>756.66</v>
      </c>
      <c r="I99" s="7">
        <v>46019</v>
      </c>
      <c r="J99" s="7" t="s">
        <v>91</v>
      </c>
      <c r="K99" s="218" t="s">
        <v>77</v>
      </c>
      <c r="L99" s="219">
        <v>46025</v>
      </c>
      <c r="M99" s="218" t="str">
        <f>IF(Tabela4[[#This Row],[RECOMPRADO]]="RECEBIDO","LIQUIDADO",IF(O99="LIQUIDADO","LIQUIDADO",IF(I99&lt;$I$5,"VENCIDO","A VENCER")))</f>
        <v>LIQUIDADO</v>
      </c>
      <c r="N99" s="222" t="str">
        <f>IF(Tabela4[[#This Row],[STATUS]]="LIQUIDADO","",Tabela4[[#This Row],[VCTO]]-$I$5)</f>
        <v/>
      </c>
      <c r="O99" s="218" t="s">
        <v>86</v>
      </c>
      <c r="P99" s="219"/>
      <c r="Q99" s="218"/>
      <c r="R99" s="218"/>
      <c r="S99" s="218"/>
      <c r="T99" s="218"/>
      <c r="U99" s="218"/>
      <c r="V99" s="5"/>
    </row>
    <row r="100" spans="1:22">
      <c r="A100" s="5" t="s">
        <v>108</v>
      </c>
      <c r="B100" s="6">
        <v>45994</v>
      </c>
      <c r="C100" s="5" t="s">
        <v>41</v>
      </c>
      <c r="D100" s="6" t="s">
        <v>285</v>
      </c>
      <c r="E100" s="10" t="s">
        <v>92</v>
      </c>
      <c r="F100" s="5" t="s">
        <v>297</v>
      </c>
      <c r="G100" s="225" t="s">
        <v>366</v>
      </c>
      <c r="H100" s="38">
        <v>2661.4</v>
      </c>
      <c r="I100" s="7">
        <v>46052</v>
      </c>
      <c r="J100" s="7" t="s">
        <v>91</v>
      </c>
      <c r="K100" s="218" t="s">
        <v>75</v>
      </c>
      <c r="L100" s="219">
        <v>46026</v>
      </c>
      <c r="M100" s="218" t="str">
        <f>IF(Tabela4[[#This Row],[RECOMPRADO]]="RECEBIDO","LIQUIDADO",IF(O100="LIQUIDADO","LIQUIDADO",IF(I100&lt;$I$5,"VENCIDO","A VENCER")))</f>
        <v>LIQUIDADO</v>
      </c>
      <c r="N100" s="222" t="str">
        <f>IF(Tabela4[[#This Row],[STATUS]]="LIQUIDADO","",Tabela4[[#This Row],[VCTO]]-$I$5)</f>
        <v/>
      </c>
      <c r="O100" s="5" t="s">
        <v>86</v>
      </c>
      <c r="P100" s="219"/>
      <c r="Q100" s="218"/>
      <c r="R100" s="218"/>
      <c r="S100" s="218"/>
      <c r="T100" s="218"/>
      <c r="U100" s="218"/>
      <c r="V100" s="5"/>
    </row>
    <row r="101" spans="1:22">
      <c r="A101" s="5" t="s">
        <v>0</v>
      </c>
      <c r="B101" s="6">
        <v>45994</v>
      </c>
      <c r="C101" s="6" t="s">
        <v>41</v>
      </c>
      <c r="D101" s="218">
        <v>220</v>
      </c>
      <c r="E101" s="10" t="s">
        <v>96</v>
      </c>
      <c r="F101" s="5" t="s">
        <v>332</v>
      </c>
      <c r="G101" s="225" t="s">
        <v>384</v>
      </c>
      <c r="H101" s="38">
        <v>812.04</v>
      </c>
      <c r="I101" s="221">
        <v>46059</v>
      </c>
      <c r="J101" s="221" t="s">
        <v>91</v>
      </c>
      <c r="K101" s="218" t="s">
        <v>77</v>
      </c>
      <c r="L101" s="219">
        <v>46025</v>
      </c>
      <c r="M101" s="218" t="str">
        <f>IF(Tabela4[[#This Row],[RECOMPRADO]]="RECEBIDO","LIQUIDADO",IF(O101="LIQUIDADO","LIQUIDADO",IF(I101&lt;$I$5,"VENCIDO","A VENCER")))</f>
        <v>LIQUIDADO</v>
      </c>
      <c r="N101" s="222" t="str">
        <f>IF(Tabela4[[#This Row],[STATUS]]="LIQUIDADO","",Tabela4[[#This Row],[VCTO]]-$I$5)</f>
        <v/>
      </c>
      <c r="O101" s="218" t="s">
        <v>86</v>
      </c>
      <c r="P101" s="219"/>
      <c r="Q101" s="218"/>
      <c r="R101" s="218"/>
      <c r="S101" s="218"/>
      <c r="T101" s="218"/>
      <c r="U101" s="218"/>
      <c r="V101" s="5"/>
    </row>
    <row r="102" spans="1:22">
      <c r="A102" s="5" t="s">
        <v>0</v>
      </c>
      <c r="B102" s="6">
        <v>45994</v>
      </c>
      <c r="C102" s="6" t="s">
        <v>43</v>
      </c>
      <c r="D102" s="218">
        <v>220</v>
      </c>
      <c r="E102" s="10" t="s">
        <v>96</v>
      </c>
      <c r="F102" s="5" t="s">
        <v>332</v>
      </c>
      <c r="G102" s="225" t="s">
        <v>384</v>
      </c>
      <c r="H102" s="38">
        <v>756.68</v>
      </c>
      <c r="I102" s="221">
        <v>46059</v>
      </c>
      <c r="J102" s="221" t="s">
        <v>91</v>
      </c>
      <c r="K102" s="218" t="s">
        <v>77</v>
      </c>
      <c r="L102" s="219">
        <v>46025</v>
      </c>
      <c r="M102" s="218" t="str">
        <f>IF(Tabela4[[#This Row],[RECOMPRADO]]="RECEBIDO","LIQUIDADO",IF(O102="LIQUIDADO","LIQUIDADO",IF(I102&lt;$I$5,"VENCIDO","A VENCER")))</f>
        <v>LIQUIDADO</v>
      </c>
      <c r="N102" s="222" t="str">
        <f>IF(Tabela4[[#This Row],[STATUS]]="LIQUIDADO","",Tabela4[[#This Row],[VCTO]]-$I$5)</f>
        <v/>
      </c>
      <c r="O102" s="218" t="s">
        <v>86</v>
      </c>
      <c r="P102" s="219"/>
      <c r="Q102" s="218"/>
      <c r="R102" s="218"/>
      <c r="S102" s="218"/>
      <c r="T102" s="5" t="s">
        <v>476</v>
      </c>
      <c r="U102" s="5"/>
      <c r="V102" s="5"/>
    </row>
    <row r="103" spans="1:22">
      <c r="A103" s="5" t="s">
        <v>0</v>
      </c>
      <c r="B103" s="6">
        <v>45996</v>
      </c>
      <c r="C103" s="6" t="s">
        <v>41</v>
      </c>
      <c r="D103" s="5" t="s">
        <v>314</v>
      </c>
      <c r="E103" s="10" t="s">
        <v>95</v>
      </c>
      <c r="F103" s="5" t="s">
        <v>333</v>
      </c>
      <c r="G103" s="225" t="s">
        <v>363</v>
      </c>
      <c r="H103" s="38">
        <v>1685</v>
      </c>
      <c r="I103" s="7">
        <v>46041</v>
      </c>
      <c r="J103" s="7" t="s">
        <v>91</v>
      </c>
      <c r="K103" s="218" t="s">
        <v>77</v>
      </c>
      <c r="L103" s="219">
        <v>46025</v>
      </c>
      <c r="M103" s="218" t="str">
        <f>IF(Tabela4[[#This Row],[RECOMPRADO]]="RECEBIDO","LIQUIDADO",IF(O103="LIQUIDADO","LIQUIDADO",IF(I103&lt;$I$5,"VENCIDO","A VENCER")))</f>
        <v>LIQUIDADO</v>
      </c>
      <c r="N103" s="222" t="str">
        <f>IF(Tabela4[[#This Row],[STATUS]]="LIQUIDADO","",Tabela4[[#This Row],[VCTO]]-$I$5)</f>
        <v/>
      </c>
      <c r="O103" s="218" t="s">
        <v>86</v>
      </c>
      <c r="P103" s="219"/>
      <c r="Q103" s="218"/>
      <c r="R103" s="218"/>
      <c r="S103" s="218"/>
      <c r="T103" s="218"/>
      <c r="U103" s="218"/>
      <c r="V103" s="5"/>
    </row>
    <row r="104" spans="1:22">
      <c r="A104" s="5" t="s">
        <v>0</v>
      </c>
      <c r="B104" s="6">
        <v>45996</v>
      </c>
      <c r="C104" s="6" t="s">
        <v>43</v>
      </c>
      <c r="D104" s="5" t="s">
        <v>314</v>
      </c>
      <c r="E104" s="10" t="s">
        <v>95</v>
      </c>
      <c r="F104" s="5" t="s">
        <v>333</v>
      </c>
      <c r="G104" s="225" t="s">
        <v>363</v>
      </c>
      <c r="H104" s="38">
        <v>1685</v>
      </c>
      <c r="I104" s="7">
        <v>46041</v>
      </c>
      <c r="J104" s="7" t="s">
        <v>91</v>
      </c>
      <c r="K104" s="218" t="s">
        <v>77</v>
      </c>
      <c r="L104" s="219">
        <v>46025</v>
      </c>
      <c r="M104" s="218" t="str">
        <f>IF(Tabela4[[#This Row],[RECOMPRADO]]="RECEBIDO","LIQUIDADO",IF(O104="LIQUIDADO","LIQUIDADO",IF(I104&lt;$I$5,"VENCIDO","A VENCER")))</f>
        <v>LIQUIDADO</v>
      </c>
      <c r="N104" s="222" t="str">
        <f>IF(Tabela4[[#This Row],[STATUS]]="LIQUIDADO","",Tabela4[[#This Row],[VCTO]]-$I$5)</f>
        <v/>
      </c>
      <c r="O104" s="218" t="s">
        <v>86</v>
      </c>
      <c r="P104" s="219"/>
      <c r="Q104" s="218"/>
      <c r="R104" s="218"/>
      <c r="S104" s="218"/>
      <c r="T104" s="218"/>
      <c r="U104" s="218"/>
      <c r="V104" s="5"/>
    </row>
    <row r="105" spans="1:22">
      <c r="A105" s="5" t="s">
        <v>0</v>
      </c>
      <c r="B105" s="6">
        <v>45996</v>
      </c>
      <c r="C105" s="6" t="s">
        <v>41</v>
      </c>
      <c r="D105" s="5" t="s">
        <v>315</v>
      </c>
      <c r="E105" s="10" t="s">
        <v>97</v>
      </c>
      <c r="F105" s="5" t="s">
        <v>334</v>
      </c>
      <c r="G105" s="225" t="s">
        <v>385</v>
      </c>
      <c r="H105" s="38">
        <v>1094.5</v>
      </c>
      <c r="I105" s="7">
        <v>46041</v>
      </c>
      <c r="J105" s="7" t="s">
        <v>91</v>
      </c>
      <c r="K105" s="218" t="s">
        <v>77</v>
      </c>
      <c r="L105" s="219">
        <v>46025</v>
      </c>
      <c r="M105" s="218" t="str">
        <f>IF(Tabela4[[#This Row],[RECOMPRADO]]="RECEBIDO","LIQUIDADO",IF(O105="LIQUIDADO","LIQUIDADO",IF(I105&lt;$I$5,"VENCIDO","A VENCER")))</f>
        <v>LIQUIDADO</v>
      </c>
      <c r="N105" s="222" t="str">
        <f>IF(Tabela4[[#This Row],[STATUS]]="LIQUIDADO","",Tabela4[[#This Row],[VCTO]]-$I$5)</f>
        <v/>
      </c>
      <c r="O105" s="218" t="s">
        <v>86</v>
      </c>
      <c r="P105" s="219"/>
      <c r="Q105" s="218"/>
      <c r="R105" s="218"/>
      <c r="S105" s="218"/>
      <c r="T105" s="218"/>
      <c r="U105" s="218"/>
      <c r="V105" s="5"/>
    </row>
    <row r="106" spans="1:22">
      <c r="A106" s="5" t="s">
        <v>0</v>
      </c>
      <c r="B106" s="6">
        <v>45996</v>
      </c>
      <c r="C106" s="6" t="s">
        <v>41</v>
      </c>
      <c r="D106" s="5" t="s">
        <v>315</v>
      </c>
      <c r="E106" s="10" t="s">
        <v>98</v>
      </c>
      <c r="F106" s="5" t="s">
        <v>334</v>
      </c>
      <c r="G106" s="225" t="s">
        <v>385</v>
      </c>
      <c r="H106" s="38">
        <v>1094.5</v>
      </c>
      <c r="I106" s="7">
        <v>46048</v>
      </c>
      <c r="J106" s="7" t="s">
        <v>91</v>
      </c>
      <c r="K106" s="218" t="s">
        <v>77</v>
      </c>
      <c r="L106" s="219">
        <v>46025</v>
      </c>
      <c r="M106" s="218" t="str">
        <f>IF(Tabela4[[#This Row],[RECOMPRADO]]="RECEBIDO","LIQUIDADO",IF(O106="LIQUIDADO","LIQUIDADO",IF(I106&lt;$I$5,"VENCIDO","A VENCER")))</f>
        <v>LIQUIDADO</v>
      </c>
      <c r="N106" s="222" t="str">
        <f>IF(Tabela4[[#This Row],[STATUS]]="LIQUIDADO","",Tabela4[[#This Row],[VCTO]]-$I$5)</f>
        <v/>
      </c>
      <c r="O106" s="218" t="s">
        <v>86</v>
      </c>
      <c r="P106" s="219"/>
      <c r="Q106" s="218"/>
      <c r="R106" s="218"/>
      <c r="S106" s="218"/>
      <c r="T106" s="218"/>
      <c r="U106" s="218"/>
      <c r="V106" s="5"/>
    </row>
    <row r="107" spans="1:22">
      <c r="A107" s="5" t="s">
        <v>0</v>
      </c>
      <c r="B107" s="6">
        <v>45996</v>
      </c>
      <c r="C107" s="6" t="s">
        <v>43</v>
      </c>
      <c r="D107" s="5" t="s">
        <v>315</v>
      </c>
      <c r="E107" s="10" t="s">
        <v>97</v>
      </c>
      <c r="F107" s="5" t="s">
        <v>334</v>
      </c>
      <c r="G107" s="225" t="s">
        <v>385</v>
      </c>
      <c r="H107" s="38">
        <v>1094.5</v>
      </c>
      <c r="I107" s="7">
        <v>46041</v>
      </c>
      <c r="J107" s="7" t="s">
        <v>91</v>
      </c>
      <c r="K107" s="218" t="s">
        <v>77</v>
      </c>
      <c r="L107" s="219">
        <v>46025</v>
      </c>
      <c r="M107" s="218" t="str">
        <f>IF(Tabela4[[#This Row],[RECOMPRADO]]="RECEBIDO","LIQUIDADO",IF(O107="LIQUIDADO","LIQUIDADO",IF(I107&lt;$I$5,"VENCIDO","A VENCER")))</f>
        <v>LIQUIDADO</v>
      </c>
      <c r="N107" s="222" t="str">
        <f>IF(Tabela4[[#This Row],[STATUS]]="LIQUIDADO","",Tabela4[[#This Row],[VCTO]]-$I$5)</f>
        <v/>
      </c>
      <c r="O107" s="218" t="s">
        <v>86</v>
      </c>
      <c r="P107" s="219"/>
      <c r="Q107" s="218"/>
      <c r="R107" s="218"/>
      <c r="S107" s="218"/>
      <c r="T107" s="218"/>
      <c r="U107" s="218"/>
      <c r="V107" s="5"/>
    </row>
    <row r="108" spans="1:22">
      <c r="A108" s="5" t="s">
        <v>0</v>
      </c>
      <c r="B108" s="6">
        <v>45996</v>
      </c>
      <c r="C108" s="6" t="s">
        <v>43</v>
      </c>
      <c r="D108" s="5" t="s">
        <v>315</v>
      </c>
      <c r="E108" s="10" t="s">
        <v>98</v>
      </c>
      <c r="F108" s="5" t="s">
        <v>334</v>
      </c>
      <c r="G108" s="225" t="s">
        <v>385</v>
      </c>
      <c r="H108" s="38">
        <v>1094.5</v>
      </c>
      <c r="I108" s="7">
        <v>46048</v>
      </c>
      <c r="J108" s="7" t="s">
        <v>91</v>
      </c>
      <c r="K108" s="218" t="s">
        <v>77</v>
      </c>
      <c r="L108" s="219">
        <v>46025</v>
      </c>
      <c r="M108" s="218" t="str">
        <f>IF(Tabela4[[#This Row],[RECOMPRADO]]="RECEBIDO","LIQUIDADO",IF(O108="LIQUIDADO","LIQUIDADO",IF(I108&lt;$I$5,"VENCIDO","A VENCER")))</f>
        <v>LIQUIDADO</v>
      </c>
      <c r="N108" s="222" t="str">
        <f>IF(Tabela4[[#This Row],[STATUS]]="LIQUIDADO","",Tabela4[[#This Row],[VCTO]]-$I$5)</f>
        <v/>
      </c>
      <c r="O108" s="218" t="s">
        <v>86</v>
      </c>
      <c r="P108" s="219"/>
      <c r="Q108" s="218"/>
      <c r="R108" s="218"/>
      <c r="S108" s="218"/>
      <c r="T108" s="218"/>
      <c r="U108" s="218"/>
      <c r="V108" s="5"/>
    </row>
    <row r="109" spans="1:22">
      <c r="A109" s="5" t="s">
        <v>7</v>
      </c>
      <c r="B109" s="6">
        <v>45996</v>
      </c>
      <c r="C109" s="6" t="s">
        <v>41</v>
      </c>
      <c r="D109" s="5" t="s">
        <v>316</v>
      </c>
      <c r="E109" s="10" t="s">
        <v>96</v>
      </c>
      <c r="F109" s="5" t="s">
        <v>335</v>
      </c>
      <c r="G109" s="225" t="s">
        <v>371</v>
      </c>
      <c r="H109" s="38">
        <v>594.38</v>
      </c>
      <c r="I109" s="7">
        <v>46041</v>
      </c>
      <c r="J109" s="7" t="s">
        <v>91</v>
      </c>
      <c r="K109" s="218" t="s">
        <v>77</v>
      </c>
      <c r="L109" s="219">
        <v>46025</v>
      </c>
      <c r="M109" s="218" t="str">
        <f>IF(Tabela4[[#This Row],[RECOMPRADO]]="RECEBIDO","LIQUIDADO",IF(O109="LIQUIDADO","LIQUIDADO",IF(I109&lt;$I$5,"VENCIDO","A VENCER")))</f>
        <v>LIQUIDADO</v>
      </c>
      <c r="N109" s="222" t="str">
        <f>IF(Tabela4[[#This Row],[STATUS]]="LIQUIDADO","",Tabela4[[#This Row],[VCTO]]-$I$5)</f>
        <v/>
      </c>
      <c r="O109" s="218" t="s">
        <v>86</v>
      </c>
      <c r="P109" s="219"/>
      <c r="Q109" s="218"/>
      <c r="R109" s="218"/>
      <c r="S109" s="218"/>
      <c r="T109" s="218"/>
      <c r="U109" s="218"/>
      <c r="V109" s="5"/>
    </row>
    <row r="110" spans="1:22">
      <c r="A110" s="5" t="s">
        <v>7</v>
      </c>
      <c r="B110" s="6">
        <v>45996</v>
      </c>
      <c r="C110" s="6" t="s">
        <v>41</v>
      </c>
      <c r="D110" s="5" t="s">
        <v>316</v>
      </c>
      <c r="E110" s="10" t="s">
        <v>97</v>
      </c>
      <c r="F110" s="5" t="s">
        <v>335</v>
      </c>
      <c r="G110" s="225" t="s">
        <v>371</v>
      </c>
      <c r="H110" s="38">
        <v>594.36</v>
      </c>
      <c r="I110" s="7">
        <v>46048</v>
      </c>
      <c r="J110" s="7" t="s">
        <v>91</v>
      </c>
      <c r="K110" s="218" t="s">
        <v>77</v>
      </c>
      <c r="L110" s="219">
        <v>46025</v>
      </c>
      <c r="M110" s="218" t="str">
        <f>IF(Tabela4[[#This Row],[RECOMPRADO]]="RECEBIDO","LIQUIDADO",IF(O110="LIQUIDADO","LIQUIDADO",IF(I110&lt;$I$5,"VENCIDO","A VENCER")))</f>
        <v>LIQUIDADO</v>
      </c>
      <c r="N110" s="222" t="str">
        <f>IF(Tabela4[[#This Row],[STATUS]]="LIQUIDADO","",Tabela4[[#This Row],[VCTO]]-$I$5)</f>
        <v/>
      </c>
      <c r="O110" s="218" t="s">
        <v>86</v>
      </c>
      <c r="P110" s="219"/>
      <c r="Q110" s="218"/>
      <c r="R110" s="218"/>
      <c r="S110" s="218"/>
      <c r="T110" s="218"/>
      <c r="U110" s="218"/>
      <c r="V110" s="5"/>
    </row>
    <row r="111" spans="1:22">
      <c r="A111" s="5" t="s">
        <v>7</v>
      </c>
      <c r="B111" s="6">
        <v>45996</v>
      </c>
      <c r="C111" s="6" t="s">
        <v>43</v>
      </c>
      <c r="D111" s="5" t="s">
        <v>316</v>
      </c>
      <c r="E111" s="10" t="s">
        <v>96</v>
      </c>
      <c r="F111" s="5" t="s">
        <v>335</v>
      </c>
      <c r="G111" s="225" t="s">
        <v>371</v>
      </c>
      <c r="H111" s="38">
        <v>594.38</v>
      </c>
      <c r="I111" s="7">
        <v>46041</v>
      </c>
      <c r="J111" s="7" t="s">
        <v>91</v>
      </c>
      <c r="K111" s="218" t="s">
        <v>77</v>
      </c>
      <c r="L111" s="219">
        <v>46025</v>
      </c>
      <c r="M111" s="218" t="str">
        <f>IF(Tabela4[[#This Row],[RECOMPRADO]]="RECEBIDO","LIQUIDADO",IF(O111="LIQUIDADO","LIQUIDADO",IF(I111&lt;$I$5,"VENCIDO","A VENCER")))</f>
        <v>LIQUIDADO</v>
      </c>
      <c r="N111" s="222" t="str">
        <f>IF(Tabela4[[#This Row],[STATUS]]="LIQUIDADO","",Tabela4[[#This Row],[VCTO]]-$I$5)</f>
        <v/>
      </c>
      <c r="O111" s="218" t="s">
        <v>86</v>
      </c>
      <c r="P111" s="219"/>
      <c r="Q111" s="218"/>
      <c r="R111" s="218"/>
      <c r="S111" s="218"/>
      <c r="T111" s="218"/>
      <c r="U111" s="218"/>
      <c r="V111" s="5"/>
    </row>
    <row r="112" spans="1:22">
      <c r="A112" s="5" t="s">
        <v>7</v>
      </c>
      <c r="B112" s="6">
        <v>45996</v>
      </c>
      <c r="C112" s="6" t="s">
        <v>43</v>
      </c>
      <c r="D112" s="5" t="s">
        <v>316</v>
      </c>
      <c r="E112" s="10" t="s">
        <v>97</v>
      </c>
      <c r="F112" s="5" t="s">
        <v>335</v>
      </c>
      <c r="G112" s="225" t="s">
        <v>371</v>
      </c>
      <c r="H112" s="38">
        <v>594.36</v>
      </c>
      <c r="I112" s="7">
        <v>46048</v>
      </c>
      <c r="J112" s="7" t="s">
        <v>91</v>
      </c>
      <c r="K112" s="218" t="s">
        <v>77</v>
      </c>
      <c r="L112" s="219">
        <v>46025</v>
      </c>
      <c r="M112" s="218" t="str">
        <f>IF(Tabela4[[#This Row],[RECOMPRADO]]="RECEBIDO","LIQUIDADO",IF(O112="LIQUIDADO","LIQUIDADO",IF(I112&lt;$I$5,"VENCIDO","A VENCER")))</f>
        <v>LIQUIDADO</v>
      </c>
      <c r="N112" s="222" t="str">
        <f>IF(Tabela4[[#This Row],[STATUS]]="LIQUIDADO","",Tabela4[[#This Row],[VCTO]]-$I$5)</f>
        <v/>
      </c>
      <c r="O112" s="218" t="s">
        <v>86</v>
      </c>
      <c r="P112" s="219"/>
      <c r="Q112" s="218"/>
      <c r="R112" s="218"/>
      <c r="S112" s="218"/>
      <c r="T112" s="218"/>
      <c r="U112" s="218"/>
      <c r="V112" s="5"/>
    </row>
    <row r="113" spans="1:22">
      <c r="A113" s="5" t="s">
        <v>7</v>
      </c>
      <c r="B113" s="6">
        <v>45996</v>
      </c>
      <c r="C113" s="6" t="s">
        <v>41</v>
      </c>
      <c r="D113" s="5" t="s">
        <v>317</v>
      </c>
      <c r="E113" s="10" t="s">
        <v>96</v>
      </c>
      <c r="F113" s="5" t="s">
        <v>336</v>
      </c>
      <c r="G113" s="225" t="s">
        <v>372</v>
      </c>
      <c r="H113" s="38">
        <v>1402</v>
      </c>
      <c r="I113" s="7">
        <v>46041</v>
      </c>
      <c r="J113" s="7" t="s">
        <v>91</v>
      </c>
      <c r="K113" s="218" t="s">
        <v>77</v>
      </c>
      <c r="L113" s="219">
        <v>46025</v>
      </c>
      <c r="M113" s="218" t="str">
        <f>IF(Tabela4[[#This Row],[RECOMPRADO]]="RECEBIDO","LIQUIDADO",IF(O113="LIQUIDADO","LIQUIDADO",IF(I113&lt;$I$5,"VENCIDO","A VENCER")))</f>
        <v>LIQUIDADO</v>
      </c>
      <c r="N113" s="222" t="str">
        <f>IF(Tabela4[[#This Row],[STATUS]]="LIQUIDADO","",Tabela4[[#This Row],[VCTO]]-$I$5)</f>
        <v/>
      </c>
      <c r="O113" s="218" t="s">
        <v>86</v>
      </c>
      <c r="P113" s="219"/>
      <c r="Q113" s="218"/>
      <c r="R113" s="218"/>
      <c r="S113" s="218"/>
      <c r="T113" s="218"/>
      <c r="U113" s="218"/>
      <c r="V113" s="5"/>
    </row>
    <row r="114" spans="1:22">
      <c r="A114" s="5" t="s">
        <v>7</v>
      </c>
      <c r="B114" s="6">
        <v>45996</v>
      </c>
      <c r="C114" s="6" t="s">
        <v>41</v>
      </c>
      <c r="D114" s="5" t="s">
        <v>317</v>
      </c>
      <c r="E114" s="10" t="s">
        <v>97</v>
      </c>
      <c r="F114" s="5" t="s">
        <v>336</v>
      </c>
      <c r="G114" s="225" t="s">
        <v>372</v>
      </c>
      <c r="H114" s="38">
        <v>1402</v>
      </c>
      <c r="I114" s="7">
        <v>46048</v>
      </c>
      <c r="J114" s="7" t="s">
        <v>91</v>
      </c>
      <c r="K114" s="218" t="s">
        <v>77</v>
      </c>
      <c r="L114" s="219">
        <v>46025</v>
      </c>
      <c r="M114" s="218" t="str">
        <f>IF(Tabela4[[#This Row],[RECOMPRADO]]="RECEBIDO","LIQUIDADO",IF(O114="LIQUIDADO","LIQUIDADO",IF(I114&lt;$I$5,"VENCIDO","A VENCER")))</f>
        <v>LIQUIDADO</v>
      </c>
      <c r="N114" s="222" t="str">
        <f>IF(Tabela4[[#This Row],[STATUS]]="LIQUIDADO","",Tabela4[[#This Row],[VCTO]]-$I$5)</f>
        <v/>
      </c>
      <c r="O114" s="218" t="s">
        <v>86</v>
      </c>
      <c r="P114" s="219"/>
      <c r="Q114" s="218"/>
      <c r="R114" s="218"/>
      <c r="S114" s="218"/>
      <c r="T114" s="218"/>
      <c r="U114" s="218"/>
      <c r="V114" s="5"/>
    </row>
    <row r="115" spans="1:22">
      <c r="A115" s="5" t="s">
        <v>7</v>
      </c>
      <c r="B115" s="6">
        <v>45996</v>
      </c>
      <c r="C115" s="6" t="s">
        <v>41</v>
      </c>
      <c r="D115" s="5" t="s">
        <v>318</v>
      </c>
      <c r="E115" s="10" t="s">
        <v>95</v>
      </c>
      <c r="F115" s="5" t="s">
        <v>336</v>
      </c>
      <c r="G115" s="225" t="s">
        <v>372</v>
      </c>
      <c r="H115" s="38">
        <v>2142</v>
      </c>
      <c r="I115" s="7">
        <v>46041</v>
      </c>
      <c r="J115" s="7" t="s">
        <v>91</v>
      </c>
      <c r="K115" s="218" t="s">
        <v>77</v>
      </c>
      <c r="L115" s="219">
        <v>46025</v>
      </c>
      <c r="M115" s="218" t="str">
        <f>IF(Tabela4[[#This Row],[RECOMPRADO]]="RECEBIDO","LIQUIDADO",IF(O115="LIQUIDADO","LIQUIDADO",IF(I115&lt;$I$5,"VENCIDO","A VENCER")))</f>
        <v>LIQUIDADO</v>
      </c>
      <c r="N115" s="222" t="str">
        <f>IF(Tabela4[[#This Row],[STATUS]]="LIQUIDADO","",Tabela4[[#This Row],[VCTO]]-$I$5)</f>
        <v/>
      </c>
      <c r="O115" s="218" t="s">
        <v>86</v>
      </c>
      <c r="P115" s="219"/>
      <c r="Q115" s="218"/>
      <c r="R115" s="218"/>
      <c r="S115" s="218"/>
      <c r="T115" s="218"/>
      <c r="U115" s="218"/>
      <c r="V115" s="5"/>
    </row>
    <row r="116" spans="1:22">
      <c r="A116" s="5" t="s">
        <v>7</v>
      </c>
      <c r="B116" s="6">
        <v>45996</v>
      </c>
      <c r="C116" s="6" t="s">
        <v>41</v>
      </c>
      <c r="D116" s="5" t="s">
        <v>318</v>
      </c>
      <c r="E116" s="10" t="s">
        <v>96</v>
      </c>
      <c r="F116" s="5" t="s">
        <v>336</v>
      </c>
      <c r="G116" s="225" t="s">
        <v>372</v>
      </c>
      <c r="H116" s="38">
        <v>2142</v>
      </c>
      <c r="I116" s="7">
        <v>46048</v>
      </c>
      <c r="J116" s="7" t="s">
        <v>91</v>
      </c>
      <c r="K116" s="218" t="s">
        <v>77</v>
      </c>
      <c r="L116" s="219">
        <v>46025</v>
      </c>
      <c r="M116" s="218" t="str">
        <f>IF(Tabela4[[#This Row],[RECOMPRADO]]="RECEBIDO","LIQUIDADO",IF(O116="LIQUIDADO","LIQUIDADO",IF(I116&lt;$I$5,"VENCIDO","A VENCER")))</f>
        <v>LIQUIDADO</v>
      </c>
      <c r="N116" s="222" t="str">
        <f>IF(Tabela4[[#This Row],[STATUS]]="LIQUIDADO","",Tabela4[[#This Row],[VCTO]]-$I$5)</f>
        <v/>
      </c>
      <c r="O116" s="218" t="s">
        <v>86</v>
      </c>
      <c r="P116" s="219"/>
      <c r="Q116" s="218"/>
      <c r="R116" s="218"/>
      <c r="S116" s="218"/>
      <c r="T116" s="218"/>
      <c r="U116" s="218"/>
      <c r="V116" s="5"/>
    </row>
    <row r="117" spans="1:22">
      <c r="A117" s="5" t="s">
        <v>0</v>
      </c>
      <c r="B117" s="6">
        <v>45996</v>
      </c>
      <c r="C117" s="6" t="s">
        <v>41</v>
      </c>
      <c r="D117" s="5" t="s">
        <v>314</v>
      </c>
      <c r="E117" s="10" t="s">
        <v>95</v>
      </c>
      <c r="F117" s="5" t="s">
        <v>333</v>
      </c>
      <c r="G117" s="225" t="s">
        <v>363</v>
      </c>
      <c r="H117" s="38">
        <v>1685</v>
      </c>
      <c r="I117" s="7">
        <v>46034</v>
      </c>
      <c r="J117" s="7" t="s">
        <v>91</v>
      </c>
      <c r="K117" s="218" t="s">
        <v>77</v>
      </c>
      <c r="L117" s="219">
        <v>46025</v>
      </c>
      <c r="M117" s="218" t="str">
        <f>IF(Tabela4[[#This Row],[RECOMPRADO]]="RECEBIDO","LIQUIDADO",IF(O117="LIQUIDADO","LIQUIDADO",IF(I117&lt;$I$5,"VENCIDO","A VENCER")))</f>
        <v>LIQUIDADO</v>
      </c>
      <c r="N117" s="222" t="str">
        <f>IF(Tabela4[[#This Row],[STATUS]]="LIQUIDADO","",Tabela4[[#This Row],[VCTO]]-$I$5)</f>
        <v/>
      </c>
      <c r="O117" s="218" t="s">
        <v>86</v>
      </c>
      <c r="P117" s="219"/>
      <c r="Q117" s="218"/>
      <c r="R117" s="218"/>
      <c r="S117" s="218"/>
      <c r="T117" s="218"/>
      <c r="U117" s="218"/>
      <c r="V117" s="5"/>
    </row>
    <row r="118" spans="1:22">
      <c r="A118" s="5" t="s">
        <v>0</v>
      </c>
      <c r="B118" s="6">
        <v>45996</v>
      </c>
      <c r="C118" s="6" t="s">
        <v>43</v>
      </c>
      <c r="D118" s="5" t="s">
        <v>314</v>
      </c>
      <c r="E118" s="10" t="s">
        <v>92</v>
      </c>
      <c r="F118" s="5" t="s">
        <v>333</v>
      </c>
      <c r="G118" s="225" t="s">
        <v>363</v>
      </c>
      <c r="H118" s="38">
        <v>1685</v>
      </c>
      <c r="I118" s="7">
        <v>46034</v>
      </c>
      <c r="J118" s="7" t="s">
        <v>91</v>
      </c>
      <c r="K118" s="218" t="s">
        <v>77</v>
      </c>
      <c r="L118" s="219">
        <v>46025</v>
      </c>
      <c r="M118" s="218" t="str">
        <f>IF(Tabela4[[#This Row],[RECOMPRADO]]="RECEBIDO","LIQUIDADO",IF(O118="LIQUIDADO","LIQUIDADO",IF(I118&lt;$I$5,"VENCIDO","A VENCER")))</f>
        <v>LIQUIDADO</v>
      </c>
      <c r="N118" s="222" t="str">
        <f>IF(Tabela4[[#This Row],[STATUS]]="LIQUIDADO","",Tabela4[[#This Row],[VCTO]]-$I$5)</f>
        <v/>
      </c>
      <c r="O118" s="218" t="s">
        <v>86</v>
      </c>
      <c r="P118" s="219"/>
      <c r="Q118" s="218"/>
      <c r="R118" s="218"/>
      <c r="S118" s="218"/>
      <c r="T118" s="218"/>
      <c r="U118" s="218"/>
      <c r="V118" s="5"/>
    </row>
    <row r="119" spans="1:22">
      <c r="A119" s="5" t="s">
        <v>0</v>
      </c>
      <c r="B119" s="6">
        <v>45996</v>
      </c>
      <c r="C119" s="6" t="s">
        <v>43</v>
      </c>
      <c r="D119" s="5" t="s">
        <v>315</v>
      </c>
      <c r="E119" s="10" t="s">
        <v>96</v>
      </c>
      <c r="F119" s="5" t="s">
        <v>334</v>
      </c>
      <c r="G119" s="225" t="s">
        <v>385</v>
      </c>
      <c r="H119" s="38">
        <v>1094.5</v>
      </c>
      <c r="I119" s="7">
        <v>46035</v>
      </c>
      <c r="J119" s="7" t="s">
        <v>91</v>
      </c>
      <c r="K119" s="218" t="s">
        <v>77</v>
      </c>
      <c r="L119" s="219">
        <v>46025</v>
      </c>
      <c r="M119" s="218" t="str">
        <f>IF(Tabela4[[#This Row],[RECOMPRADO]]="RECEBIDO","LIQUIDADO",IF(O119="LIQUIDADO","LIQUIDADO",IF(I119&lt;$I$5,"VENCIDO","A VENCER")))</f>
        <v>LIQUIDADO</v>
      </c>
      <c r="N119" s="222" t="str">
        <f>IF(Tabela4[[#This Row],[STATUS]]="LIQUIDADO","",Tabela4[[#This Row],[VCTO]]-$I$5)</f>
        <v/>
      </c>
      <c r="O119" s="218" t="s">
        <v>86</v>
      </c>
      <c r="P119" s="219"/>
      <c r="Q119" s="218"/>
      <c r="R119" s="218"/>
      <c r="S119" s="218"/>
      <c r="T119" s="218"/>
      <c r="U119" s="218"/>
      <c r="V119" s="5"/>
    </row>
    <row r="120" spans="1:22">
      <c r="A120" s="5" t="s">
        <v>7</v>
      </c>
      <c r="B120" s="6">
        <v>45996</v>
      </c>
      <c r="C120" s="6" t="s">
        <v>41</v>
      </c>
      <c r="D120" s="5" t="s">
        <v>316</v>
      </c>
      <c r="E120" s="10" t="s">
        <v>95</v>
      </c>
      <c r="F120" s="5" t="s">
        <v>335</v>
      </c>
      <c r="G120" s="225" t="s">
        <v>371</v>
      </c>
      <c r="H120" s="38">
        <v>594.38</v>
      </c>
      <c r="I120" s="7">
        <v>46034</v>
      </c>
      <c r="J120" s="7" t="s">
        <v>91</v>
      </c>
      <c r="K120" s="218" t="s">
        <v>77</v>
      </c>
      <c r="L120" s="219">
        <v>46025</v>
      </c>
      <c r="M120" s="218" t="str">
        <f>IF(Tabela4[[#This Row],[RECOMPRADO]]="RECEBIDO","LIQUIDADO",IF(O120="LIQUIDADO","LIQUIDADO",IF(I120&lt;$I$5,"VENCIDO","A VENCER")))</f>
        <v>LIQUIDADO</v>
      </c>
      <c r="N120" s="222" t="str">
        <f>IF(Tabela4[[#This Row],[STATUS]]="LIQUIDADO","",Tabela4[[#This Row],[VCTO]]-$I$5)</f>
        <v/>
      </c>
      <c r="O120" s="218" t="s">
        <v>86</v>
      </c>
      <c r="P120" s="219"/>
      <c r="Q120" s="218"/>
      <c r="R120" s="218"/>
      <c r="S120" s="218"/>
      <c r="T120" s="218"/>
      <c r="U120" s="218"/>
      <c r="V120" s="5"/>
    </row>
    <row r="121" spans="1:22">
      <c r="A121" s="5" t="s">
        <v>7</v>
      </c>
      <c r="B121" s="6">
        <v>45996</v>
      </c>
      <c r="C121" s="6" t="s">
        <v>43</v>
      </c>
      <c r="D121" s="5" t="s">
        <v>316</v>
      </c>
      <c r="E121" s="10" t="s">
        <v>95</v>
      </c>
      <c r="F121" s="5" t="s">
        <v>335</v>
      </c>
      <c r="G121" s="225" t="s">
        <v>371</v>
      </c>
      <c r="H121" s="38">
        <v>594.38</v>
      </c>
      <c r="I121" s="7">
        <v>46034</v>
      </c>
      <c r="J121" s="7" t="s">
        <v>91</v>
      </c>
      <c r="K121" s="218" t="s">
        <v>77</v>
      </c>
      <c r="L121" s="219">
        <v>46025</v>
      </c>
      <c r="M121" s="218" t="str">
        <f>IF(Tabela4[[#This Row],[RECOMPRADO]]="RECEBIDO","LIQUIDADO",IF(O121="LIQUIDADO","LIQUIDADO",IF(I121&lt;$I$5,"VENCIDO","A VENCER")))</f>
        <v>LIQUIDADO</v>
      </c>
      <c r="N121" s="222" t="str">
        <f>IF(Tabela4[[#This Row],[STATUS]]="LIQUIDADO","",Tabela4[[#This Row],[VCTO]]-$I$5)</f>
        <v/>
      </c>
      <c r="O121" s="218" t="s">
        <v>86</v>
      </c>
      <c r="P121" s="219"/>
      <c r="Q121" s="218"/>
      <c r="R121" s="218"/>
      <c r="S121" s="218"/>
      <c r="T121" s="218"/>
      <c r="U121" s="218"/>
      <c r="V121" s="5"/>
    </row>
    <row r="122" spans="1:22">
      <c r="A122" s="5" t="s">
        <v>7</v>
      </c>
      <c r="B122" s="6">
        <v>45996</v>
      </c>
      <c r="C122" s="6" t="s">
        <v>41</v>
      </c>
      <c r="D122" s="5" t="s">
        <v>317</v>
      </c>
      <c r="E122" s="10" t="s">
        <v>95</v>
      </c>
      <c r="F122" s="5" t="s">
        <v>336</v>
      </c>
      <c r="G122" s="225" t="s">
        <v>372</v>
      </c>
      <c r="H122" s="38">
        <v>1402</v>
      </c>
      <c r="I122" s="7">
        <v>46034</v>
      </c>
      <c r="J122" s="7" t="s">
        <v>91</v>
      </c>
      <c r="K122" s="218" t="s">
        <v>77</v>
      </c>
      <c r="L122" s="219">
        <v>46025</v>
      </c>
      <c r="M122" s="218" t="str">
        <f>IF(Tabela4[[#This Row],[RECOMPRADO]]="RECEBIDO","LIQUIDADO",IF(O122="LIQUIDADO","LIQUIDADO",IF(I122&lt;$I$5,"VENCIDO","A VENCER")))</f>
        <v>LIQUIDADO</v>
      </c>
      <c r="N122" s="222" t="str">
        <f>IF(Tabela4[[#This Row],[STATUS]]="LIQUIDADO","",Tabela4[[#This Row],[VCTO]]-$I$5)</f>
        <v/>
      </c>
      <c r="O122" s="218" t="s">
        <v>86</v>
      </c>
      <c r="P122" s="219"/>
      <c r="Q122" s="218"/>
      <c r="R122" s="218"/>
      <c r="S122" s="218"/>
      <c r="T122" s="218"/>
      <c r="U122" s="218"/>
      <c r="V122" s="5"/>
    </row>
    <row r="123" spans="1:22">
      <c r="A123" s="5" t="s">
        <v>7</v>
      </c>
      <c r="B123" s="6">
        <v>45996</v>
      </c>
      <c r="C123" s="6" t="s">
        <v>41</v>
      </c>
      <c r="D123" s="5" t="s">
        <v>318</v>
      </c>
      <c r="E123" s="10" t="s">
        <v>92</v>
      </c>
      <c r="F123" s="5" t="s">
        <v>336</v>
      </c>
      <c r="G123" s="225" t="s">
        <v>372</v>
      </c>
      <c r="H123" s="38">
        <v>2142</v>
      </c>
      <c r="I123" s="7">
        <v>46034</v>
      </c>
      <c r="J123" s="7" t="s">
        <v>91</v>
      </c>
      <c r="K123" s="218" t="s">
        <v>77</v>
      </c>
      <c r="L123" s="219">
        <v>46025</v>
      </c>
      <c r="M123" s="218" t="str">
        <f>IF(Tabela4[[#This Row],[RECOMPRADO]]="RECEBIDO","LIQUIDADO",IF(O123="LIQUIDADO","LIQUIDADO",IF(I123&lt;$I$5,"VENCIDO","A VENCER")))</f>
        <v>LIQUIDADO</v>
      </c>
      <c r="N123" s="222" t="str">
        <f>IF(Tabela4[[#This Row],[STATUS]]="LIQUIDADO","",Tabela4[[#This Row],[VCTO]]-$I$5)</f>
        <v/>
      </c>
      <c r="O123" s="218" t="s">
        <v>86</v>
      </c>
      <c r="P123" s="219"/>
      <c r="Q123" s="218"/>
      <c r="R123" s="218"/>
      <c r="S123" s="218"/>
      <c r="T123" s="218"/>
      <c r="U123" s="218"/>
      <c r="V123" s="5"/>
    </row>
    <row r="124" spans="1:22">
      <c r="A124" s="5" t="s">
        <v>0</v>
      </c>
      <c r="B124" s="6">
        <v>45996</v>
      </c>
      <c r="C124" s="6" t="s">
        <v>41</v>
      </c>
      <c r="D124" s="5" t="s">
        <v>315</v>
      </c>
      <c r="E124" s="10" t="s">
        <v>96</v>
      </c>
      <c r="F124" s="5" t="s">
        <v>334</v>
      </c>
      <c r="G124" s="225" t="s">
        <v>385</v>
      </c>
      <c r="H124" s="38">
        <v>1094.5</v>
      </c>
      <c r="I124" s="7">
        <v>46035</v>
      </c>
      <c r="J124" s="7" t="s">
        <v>91</v>
      </c>
      <c r="K124" s="218" t="s">
        <v>77</v>
      </c>
      <c r="L124" s="219">
        <v>46025</v>
      </c>
      <c r="M124" s="218" t="str">
        <f>IF(Tabela4[[#This Row],[RECOMPRADO]]="RECEBIDO","LIQUIDADO",IF(O124="LIQUIDADO","LIQUIDADO",IF(I124&lt;$I$5,"VENCIDO","A VENCER")))</f>
        <v>LIQUIDADO</v>
      </c>
      <c r="N124" s="222" t="str">
        <f>IF(Tabela4[[#This Row],[STATUS]]="LIQUIDADO","",Tabela4[[#This Row],[VCTO]]-$I$5)</f>
        <v/>
      </c>
      <c r="O124" s="218" t="s">
        <v>86</v>
      </c>
      <c r="P124" s="219"/>
      <c r="Q124" s="218"/>
      <c r="R124" s="218"/>
      <c r="S124" s="218"/>
      <c r="T124" s="218"/>
      <c r="U124" s="218"/>
      <c r="V124" s="5"/>
    </row>
    <row r="125" spans="1:22">
      <c r="A125" s="5" t="s">
        <v>0</v>
      </c>
      <c r="B125" s="6">
        <v>45996</v>
      </c>
      <c r="C125" s="219" t="s">
        <v>41</v>
      </c>
      <c r="D125" s="5" t="s">
        <v>350</v>
      </c>
      <c r="E125" s="10" t="s">
        <v>96</v>
      </c>
      <c r="F125" s="5" t="s">
        <v>6</v>
      </c>
      <c r="G125" s="225" t="s">
        <v>52</v>
      </c>
      <c r="H125" s="38">
        <v>1033.33</v>
      </c>
      <c r="I125" s="7">
        <v>46041</v>
      </c>
      <c r="J125" s="221" t="s">
        <v>91</v>
      </c>
      <c r="K125" s="218" t="s">
        <v>81</v>
      </c>
      <c r="L125" s="219">
        <v>46027</v>
      </c>
      <c r="M125" s="218" t="str">
        <f>IF(Tabela4[[#This Row],[RECOMPRADO]]="RECEBIDO","LIQUIDADO",IF(O125="LIQUIDADO","LIQUIDADO",IF(I125&lt;$I$5,"VENCIDO","A VENCER")))</f>
        <v>LIQUIDADO</v>
      </c>
      <c r="N125" s="222" t="str">
        <f>IF(Tabela4[[#This Row],[STATUS]]="LIQUIDADO","",Tabela4[[#This Row],[VCTO]]-$I$5)</f>
        <v/>
      </c>
      <c r="O125" s="218" t="s">
        <v>86</v>
      </c>
      <c r="P125" s="219"/>
      <c r="Q125" s="218"/>
      <c r="R125" s="218"/>
      <c r="S125" s="218"/>
      <c r="T125" s="218"/>
      <c r="U125" s="218"/>
      <c r="V125" s="5"/>
    </row>
    <row r="126" spans="1:22">
      <c r="A126" s="5" t="s">
        <v>0</v>
      </c>
      <c r="B126" s="6">
        <v>45996</v>
      </c>
      <c r="C126" s="219" t="s">
        <v>41</v>
      </c>
      <c r="D126" s="5" t="s">
        <v>351</v>
      </c>
      <c r="E126" s="10" t="s">
        <v>96</v>
      </c>
      <c r="F126" s="5" t="s">
        <v>19</v>
      </c>
      <c r="G126" s="225" t="s">
        <v>55</v>
      </c>
      <c r="H126" s="38">
        <v>1561</v>
      </c>
      <c r="I126" s="7">
        <v>46041</v>
      </c>
      <c r="J126" s="221" t="s">
        <v>91</v>
      </c>
      <c r="K126" s="218" t="s">
        <v>81</v>
      </c>
      <c r="L126" s="219">
        <v>46027</v>
      </c>
      <c r="M126" s="218" t="str">
        <f>IF(Tabela4[[#This Row],[RECOMPRADO]]="RECEBIDO","LIQUIDADO",IF(O126="LIQUIDADO","LIQUIDADO",IF(I126&lt;$I$5,"VENCIDO","A VENCER")))</f>
        <v>LIQUIDADO</v>
      </c>
      <c r="N126" s="222" t="str">
        <f>IF(Tabela4[[#This Row],[STATUS]]="LIQUIDADO","",Tabela4[[#This Row],[VCTO]]-$I$5)</f>
        <v/>
      </c>
      <c r="O126" s="218" t="s">
        <v>86</v>
      </c>
      <c r="P126" s="219"/>
      <c r="Q126" s="218"/>
      <c r="R126" s="218"/>
      <c r="S126" s="218"/>
      <c r="T126" s="218"/>
      <c r="U126" s="218"/>
      <c r="V126" s="5"/>
    </row>
    <row r="127" spans="1:22">
      <c r="A127" s="5" t="s">
        <v>0</v>
      </c>
      <c r="B127" s="6">
        <v>45996</v>
      </c>
      <c r="C127" s="219" t="s">
        <v>41</v>
      </c>
      <c r="D127" s="5" t="s">
        <v>351</v>
      </c>
      <c r="E127" s="10" t="s">
        <v>97</v>
      </c>
      <c r="F127" s="5" t="s">
        <v>19</v>
      </c>
      <c r="G127" s="225" t="s">
        <v>55</v>
      </c>
      <c r="H127" s="38">
        <v>1561</v>
      </c>
      <c r="I127" s="7">
        <v>46048</v>
      </c>
      <c r="J127" s="221" t="s">
        <v>91</v>
      </c>
      <c r="K127" s="218" t="s">
        <v>81</v>
      </c>
      <c r="L127" s="219">
        <v>46027</v>
      </c>
      <c r="M127" s="218" t="str">
        <f>IF(Tabela4[[#This Row],[RECOMPRADO]]="RECEBIDO","LIQUIDADO",IF(O127="LIQUIDADO","LIQUIDADO",IF(I127&lt;$I$5,"VENCIDO","A VENCER")))</f>
        <v>LIQUIDADO</v>
      </c>
      <c r="N127" s="222" t="str">
        <f>IF(Tabela4[[#This Row],[STATUS]]="LIQUIDADO","",Tabela4[[#This Row],[VCTO]]-$I$5)</f>
        <v/>
      </c>
      <c r="O127" s="218" t="s">
        <v>86</v>
      </c>
      <c r="P127" s="219"/>
      <c r="Q127" s="218"/>
      <c r="R127" s="218"/>
      <c r="S127" s="218"/>
      <c r="T127" s="218"/>
      <c r="U127" s="218"/>
      <c r="V127" s="5"/>
    </row>
    <row r="128" spans="1:22">
      <c r="A128" s="5" t="s">
        <v>0</v>
      </c>
      <c r="B128" s="6">
        <v>45996</v>
      </c>
      <c r="C128" s="219" t="s">
        <v>41</v>
      </c>
      <c r="D128" s="5" t="s">
        <v>350</v>
      </c>
      <c r="E128" s="10" t="s">
        <v>95</v>
      </c>
      <c r="F128" s="5" t="s">
        <v>6</v>
      </c>
      <c r="G128" s="225" t="s">
        <v>52</v>
      </c>
      <c r="H128" s="38">
        <v>1033.3399999999999</v>
      </c>
      <c r="I128" s="7">
        <v>46034</v>
      </c>
      <c r="J128" s="221" t="s">
        <v>91</v>
      </c>
      <c r="K128" s="218" t="s">
        <v>81</v>
      </c>
      <c r="L128" s="219">
        <v>46027</v>
      </c>
      <c r="M128" s="218" t="str">
        <f>IF(Tabela4[[#This Row],[RECOMPRADO]]="RECEBIDO","LIQUIDADO",IF(O128="LIQUIDADO","LIQUIDADO",IF(I128&lt;$I$5,"VENCIDO","A VENCER")))</f>
        <v>LIQUIDADO</v>
      </c>
      <c r="N128" s="222" t="str">
        <f>IF(Tabela4[[#This Row],[STATUS]]="LIQUIDADO","",Tabela4[[#This Row],[VCTO]]-$I$5)</f>
        <v/>
      </c>
      <c r="O128" s="218" t="s">
        <v>86</v>
      </c>
      <c r="P128" s="219"/>
      <c r="Q128" s="218"/>
      <c r="R128" s="218"/>
      <c r="S128" s="218"/>
      <c r="T128" s="218"/>
      <c r="U128" s="218"/>
      <c r="V128" s="5"/>
    </row>
    <row r="129" spans="1:22">
      <c r="A129" s="5" t="s">
        <v>0</v>
      </c>
      <c r="B129" s="6">
        <v>45996</v>
      </c>
      <c r="C129" s="219" t="s">
        <v>41</v>
      </c>
      <c r="D129" s="5" t="s">
        <v>351</v>
      </c>
      <c r="E129" s="10" t="s">
        <v>95</v>
      </c>
      <c r="F129" s="5" t="s">
        <v>19</v>
      </c>
      <c r="G129" s="225" t="s">
        <v>55</v>
      </c>
      <c r="H129" s="38">
        <v>1561</v>
      </c>
      <c r="I129" s="7">
        <v>46034</v>
      </c>
      <c r="J129" s="221" t="s">
        <v>91</v>
      </c>
      <c r="K129" s="218" t="s">
        <v>81</v>
      </c>
      <c r="L129" s="219">
        <v>46027</v>
      </c>
      <c r="M129" s="218" t="str">
        <f>IF(Tabela4[[#This Row],[RECOMPRADO]]="RECEBIDO","LIQUIDADO",IF(O129="LIQUIDADO","LIQUIDADO",IF(I129&lt;$I$5,"VENCIDO","A VENCER")))</f>
        <v>LIQUIDADO</v>
      </c>
      <c r="N129" s="222" t="str">
        <f>IF(Tabela4[[#This Row],[STATUS]]="LIQUIDADO","",Tabela4[[#This Row],[VCTO]]-$I$5)</f>
        <v/>
      </c>
      <c r="O129" s="218" t="s">
        <v>86</v>
      </c>
      <c r="P129" s="219"/>
      <c r="Q129" s="218"/>
      <c r="R129" s="218"/>
      <c r="S129" s="218"/>
      <c r="T129" s="218"/>
      <c r="U129" s="218"/>
      <c r="V129" s="5"/>
    </row>
    <row r="130" spans="1:22">
      <c r="A130" s="5" t="s">
        <v>0</v>
      </c>
      <c r="B130" s="6">
        <v>45996</v>
      </c>
      <c r="C130" s="6" t="s">
        <v>41</v>
      </c>
      <c r="D130" s="5" t="s">
        <v>314</v>
      </c>
      <c r="E130" s="10" t="s">
        <v>96</v>
      </c>
      <c r="F130" s="5" t="s">
        <v>333</v>
      </c>
      <c r="G130" s="225" t="s">
        <v>363</v>
      </c>
      <c r="H130" s="38">
        <v>1685</v>
      </c>
      <c r="I130" s="7">
        <v>46055</v>
      </c>
      <c r="J130" s="7" t="s">
        <v>91</v>
      </c>
      <c r="K130" s="218" t="s">
        <v>77</v>
      </c>
      <c r="L130" s="219">
        <v>46025</v>
      </c>
      <c r="M130" s="5" t="str">
        <f>IF(Tabela4[[#This Row],[RECOMPRADO]]="RECEBIDO","LIQUIDADO",IF(O130="LIQUIDADO","LIQUIDADO",IF(I130&lt;$I$5,"VENCIDO","A VENCER")))</f>
        <v>LIQUIDADO</v>
      </c>
      <c r="N130" s="211" t="str">
        <f>IF(Tabela4[[#This Row],[STATUS]]="LIQUIDADO","",Tabela4[[#This Row],[VCTO]]-$I$5)</f>
        <v/>
      </c>
      <c r="O130" s="5" t="s">
        <v>86</v>
      </c>
      <c r="P130" s="6"/>
      <c r="Q130" s="5"/>
      <c r="R130" s="5"/>
      <c r="S130" s="5"/>
      <c r="T130" s="5"/>
      <c r="U130" s="5"/>
      <c r="V130" s="5"/>
    </row>
    <row r="131" spans="1:22">
      <c r="A131" s="5" t="s">
        <v>0</v>
      </c>
      <c r="B131" s="6">
        <v>45996</v>
      </c>
      <c r="C131" s="6" t="s">
        <v>43</v>
      </c>
      <c r="D131" s="5" t="s">
        <v>314</v>
      </c>
      <c r="E131" s="10" t="s">
        <v>96</v>
      </c>
      <c r="F131" s="5" t="s">
        <v>333</v>
      </c>
      <c r="G131" s="225" t="s">
        <v>363</v>
      </c>
      <c r="H131" s="38">
        <v>1685</v>
      </c>
      <c r="I131" s="7">
        <v>46055</v>
      </c>
      <c r="J131" s="7" t="s">
        <v>91</v>
      </c>
      <c r="K131" s="218" t="s">
        <v>77</v>
      </c>
      <c r="L131" s="219">
        <v>46025</v>
      </c>
      <c r="M131" s="5" t="str">
        <f>IF(Tabela4[[#This Row],[RECOMPRADO]]="RECEBIDO","LIQUIDADO",IF(O131="LIQUIDADO","LIQUIDADO",IF(I131&lt;$I$5,"VENCIDO","A VENCER")))</f>
        <v>LIQUIDADO</v>
      </c>
      <c r="N131" s="211" t="str">
        <f>IF(Tabela4[[#This Row],[STATUS]]="LIQUIDADO","",Tabela4[[#This Row],[VCTO]]-$I$5)</f>
        <v/>
      </c>
      <c r="O131" s="5" t="s">
        <v>86</v>
      </c>
      <c r="P131" s="6"/>
      <c r="Q131" s="5"/>
      <c r="R131" s="5"/>
      <c r="S131" s="5"/>
      <c r="T131" s="5"/>
      <c r="U131" s="5"/>
      <c r="V131" s="5"/>
    </row>
    <row r="132" spans="1:22">
      <c r="A132" s="5" t="s">
        <v>108</v>
      </c>
      <c r="B132" s="6">
        <v>45999</v>
      </c>
      <c r="C132" s="6" t="s">
        <v>41</v>
      </c>
      <c r="D132" s="5" t="s">
        <v>307</v>
      </c>
      <c r="E132" s="10" t="s">
        <v>95</v>
      </c>
      <c r="F132" s="5" t="s">
        <v>312</v>
      </c>
      <c r="G132" s="225" t="s">
        <v>369</v>
      </c>
      <c r="H132" s="38">
        <v>4000</v>
      </c>
      <c r="I132" s="7">
        <v>46034</v>
      </c>
      <c r="J132" s="7" t="s">
        <v>91</v>
      </c>
      <c r="K132" s="218" t="s">
        <v>76</v>
      </c>
      <c r="L132" s="6">
        <v>46037</v>
      </c>
      <c r="M132" s="218" t="str">
        <f>IF(Tabela4[[#This Row],[RECOMPRADO]]="RECEBIDO","LIQUIDADO",IF(O132="LIQUIDADO","LIQUIDADO",IF(I132&lt;$I$5,"VENCIDO","A VENCER")))</f>
        <v>LIQUIDADO</v>
      </c>
      <c r="N132" s="222" t="str">
        <f>IF(Tabela4[[#This Row],[STATUS]]="LIQUIDADO","",Tabela4[[#This Row],[VCTO]]-$I$5)</f>
        <v/>
      </c>
      <c r="O132" s="218" t="s">
        <v>86</v>
      </c>
      <c r="P132" s="219"/>
      <c r="Q132" s="218"/>
      <c r="R132" s="218"/>
      <c r="S132" s="218"/>
      <c r="T132" s="218"/>
      <c r="U132" s="218"/>
      <c r="V132" s="5"/>
    </row>
    <row r="133" spans="1:22">
      <c r="A133" s="5" t="s">
        <v>0</v>
      </c>
      <c r="B133" s="6">
        <v>46000</v>
      </c>
      <c r="C133" s="5" t="s">
        <v>41</v>
      </c>
      <c r="D133" s="6" t="s">
        <v>288</v>
      </c>
      <c r="E133" s="10" t="s">
        <v>96</v>
      </c>
      <c r="F133" s="5" t="s">
        <v>300</v>
      </c>
      <c r="G133" s="225" t="s">
        <v>356</v>
      </c>
      <c r="H133" s="38">
        <v>701.66</v>
      </c>
      <c r="I133" s="7">
        <v>46042</v>
      </c>
      <c r="J133" s="7" t="s">
        <v>91</v>
      </c>
      <c r="K133" s="218" t="s">
        <v>75</v>
      </c>
      <c r="L133" s="219">
        <v>46026</v>
      </c>
      <c r="M133" s="218" t="str">
        <f>IF(Tabela4[[#This Row],[RECOMPRADO]]="RECEBIDO","LIQUIDADO",IF(O133="LIQUIDADO","LIQUIDADO",IF(I133&lt;$I$5,"VENCIDO","A VENCER")))</f>
        <v>LIQUIDADO</v>
      </c>
      <c r="N133" s="222" t="str">
        <f>IF(Tabela4[[#This Row],[STATUS]]="LIQUIDADO","",Tabela4[[#This Row],[VCTO]]-$I$5)</f>
        <v/>
      </c>
      <c r="O133" s="5" t="s">
        <v>86</v>
      </c>
      <c r="P133" s="219"/>
      <c r="Q133" s="218"/>
      <c r="R133" s="218"/>
      <c r="S133" s="218"/>
      <c r="T133" s="218"/>
      <c r="U133" s="218"/>
      <c r="V133" s="5"/>
    </row>
    <row r="134" spans="1:22">
      <c r="A134" s="5" t="s">
        <v>0</v>
      </c>
      <c r="B134" s="6">
        <v>46000</v>
      </c>
      <c r="C134" s="5" t="s">
        <v>41</v>
      </c>
      <c r="D134" s="6" t="s">
        <v>288</v>
      </c>
      <c r="E134" s="10" t="s">
        <v>95</v>
      </c>
      <c r="F134" s="5" t="s">
        <v>300</v>
      </c>
      <c r="G134" s="225" t="s">
        <v>356</v>
      </c>
      <c r="H134" s="38">
        <v>701.67</v>
      </c>
      <c r="I134" s="7">
        <v>46035</v>
      </c>
      <c r="J134" s="7" t="s">
        <v>91</v>
      </c>
      <c r="K134" s="218" t="s">
        <v>75</v>
      </c>
      <c r="L134" s="219">
        <v>46026</v>
      </c>
      <c r="M134" s="218" t="str">
        <f>IF(Tabela4[[#This Row],[RECOMPRADO]]="RECEBIDO","LIQUIDADO",IF(O134="LIQUIDADO","LIQUIDADO",IF(I134&lt;$I$5,"VENCIDO","A VENCER")))</f>
        <v>LIQUIDADO</v>
      </c>
      <c r="N134" s="222" t="str">
        <f>IF(Tabela4[[#This Row],[STATUS]]="LIQUIDADO","",Tabela4[[#This Row],[VCTO]]-$I$5)</f>
        <v/>
      </c>
      <c r="O134" s="5" t="s">
        <v>86</v>
      </c>
      <c r="P134" s="219"/>
      <c r="Q134" s="218"/>
      <c r="R134" s="218"/>
      <c r="S134" s="218"/>
      <c r="T134" s="218"/>
      <c r="U134" s="218"/>
      <c r="V134" s="5"/>
    </row>
    <row r="135" spans="1:22">
      <c r="A135" s="5" t="s">
        <v>0</v>
      </c>
      <c r="B135" s="6">
        <v>46000</v>
      </c>
      <c r="C135" s="6" t="s">
        <v>41</v>
      </c>
      <c r="D135" s="5" t="s">
        <v>288</v>
      </c>
      <c r="E135" s="10" t="s">
        <v>96</v>
      </c>
      <c r="F135" s="5" t="s">
        <v>300</v>
      </c>
      <c r="G135" s="225" t="s">
        <v>356</v>
      </c>
      <c r="H135" s="38">
        <v>701.67</v>
      </c>
      <c r="I135" s="7">
        <v>46042</v>
      </c>
      <c r="J135" s="7" t="s">
        <v>91</v>
      </c>
      <c r="K135" s="218" t="s">
        <v>77</v>
      </c>
      <c r="L135" s="219">
        <v>46025</v>
      </c>
      <c r="M135" s="218" t="str">
        <f>IF(Tabela4[[#This Row],[RECOMPRADO]]="RECEBIDO","LIQUIDADO",IF(O135="LIQUIDADO","LIQUIDADO",IF(I135&lt;$I$5,"VENCIDO","A VENCER")))</f>
        <v>LIQUIDADO</v>
      </c>
      <c r="N135" s="222" t="str">
        <f>IF(Tabela4[[#This Row],[STATUS]]="LIQUIDADO","",Tabela4[[#This Row],[VCTO]]-$I$5)</f>
        <v/>
      </c>
      <c r="O135" s="218" t="s">
        <v>86</v>
      </c>
      <c r="P135" s="219"/>
      <c r="Q135" s="218"/>
      <c r="R135" s="218"/>
      <c r="S135" s="218"/>
      <c r="T135" s="218"/>
      <c r="U135" s="218"/>
      <c r="V135" s="5"/>
    </row>
    <row r="136" spans="1:22">
      <c r="A136" s="5" t="s">
        <v>0</v>
      </c>
      <c r="B136" s="6">
        <v>46000</v>
      </c>
      <c r="C136" s="6" t="s">
        <v>41</v>
      </c>
      <c r="D136" s="5" t="s">
        <v>288</v>
      </c>
      <c r="E136" s="10" t="s">
        <v>95</v>
      </c>
      <c r="F136" s="5" t="s">
        <v>300</v>
      </c>
      <c r="G136" s="225" t="s">
        <v>356</v>
      </c>
      <c r="H136" s="38">
        <v>701.67</v>
      </c>
      <c r="I136" s="7">
        <v>46035</v>
      </c>
      <c r="J136" s="7" t="s">
        <v>91</v>
      </c>
      <c r="K136" s="218" t="s">
        <v>77</v>
      </c>
      <c r="L136" s="219">
        <v>46025</v>
      </c>
      <c r="M136" s="218" t="str">
        <f>IF(Tabela4[[#This Row],[RECOMPRADO]]="RECEBIDO","LIQUIDADO",IF(O136="LIQUIDADO","LIQUIDADO",IF(I136&lt;$I$5,"VENCIDO","A VENCER")))</f>
        <v>LIQUIDADO</v>
      </c>
      <c r="N136" s="222" t="str">
        <f>IF(Tabela4[[#This Row],[STATUS]]="LIQUIDADO","",Tabela4[[#This Row],[VCTO]]-$I$5)</f>
        <v/>
      </c>
      <c r="O136" s="218" t="s">
        <v>86</v>
      </c>
      <c r="P136" s="219"/>
      <c r="Q136" s="218"/>
      <c r="R136" s="218"/>
      <c r="S136" s="218"/>
      <c r="T136" s="218"/>
      <c r="U136" s="218"/>
      <c r="V136" s="5"/>
    </row>
    <row r="137" spans="1:22">
      <c r="A137" s="5" t="s">
        <v>0</v>
      </c>
      <c r="B137" s="6">
        <v>46000</v>
      </c>
      <c r="C137" s="5" t="s">
        <v>41</v>
      </c>
      <c r="D137" s="5">
        <v>229</v>
      </c>
      <c r="E137" s="10" t="s">
        <v>92</v>
      </c>
      <c r="F137" s="5" t="s">
        <v>473</v>
      </c>
      <c r="G137" s="225">
        <v>28477616000103</v>
      </c>
      <c r="H137" s="38">
        <v>60018.48</v>
      </c>
      <c r="I137" s="221">
        <v>46028</v>
      </c>
      <c r="J137" s="221" t="s">
        <v>91</v>
      </c>
      <c r="K137" s="218" t="s">
        <v>75</v>
      </c>
      <c r="L137" s="219">
        <v>46026</v>
      </c>
      <c r="M137" s="218" t="str">
        <f>IF(Tabela4[[#This Row],[RECOMPRADO]]="RECEBIDO","LIQUIDADO",IF(O137="LIQUIDADO","LIQUIDADO",IF(I137&lt;$I$5,"VENCIDO","A VENCER")))</f>
        <v>LIQUIDADO</v>
      </c>
      <c r="N137" s="222" t="str">
        <f>IF(Tabela4[[#This Row],[STATUS]]="LIQUIDADO","",Tabela4[[#This Row],[VCTO]]-$I$5)</f>
        <v/>
      </c>
      <c r="O137" s="218" t="s">
        <v>86</v>
      </c>
      <c r="P137" s="219"/>
      <c r="Q137" s="218"/>
      <c r="R137" s="218"/>
      <c r="S137" s="218"/>
      <c r="T137" s="218"/>
      <c r="U137" s="218"/>
      <c r="V137" s="5"/>
    </row>
    <row r="138" spans="1:22">
      <c r="A138" s="218" t="s">
        <v>108</v>
      </c>
      <c r="B138" s="219">
        <v>46001</v>
      </c>
      <c r="C138" s="6" t="s">
        <v>41</v>
      </c>
      <c r="D138" s="218">
        <v>686</v>
      </c>
      <c r="E138" s="10" t="s">
        <v>97</v>
      </c>
      <c r="F138" s="6" t="s">
        <v>469</v>
      </c>
      <c r="G138" s="225">
        <v>27686833000104</v>
      </c>
      <c r="H138" s="231">
        <v>1400</v>
      </c>
      <c r="I138" s="221">
        <v>46043</v>
      </c>
      <c r="J138" s="221" t="s">
        <v>91</v>
      </c>
      <c r="K138" s="218" t="s">
        <v>75</v>
      </c>
      <c r="L138" s="219">
        <v>46026</v>
      </c>
      <c r="M138" s="218" t="str">
        <f>IF(Tabela4[[#This Row],[RECOMPRADO]]="RECEBIDO","LIQUIDADO",IF(O138="LIQUIDADO","LIQUIDADO",IF(I138&lt;$I$5,"VENCIDO","A VENCER")))</f>
        <v>LIQUIDADO</v>
      </c>
      <c r="N138" s="222" t="str">
        <f>IF(Tabela4[[#This Row],[STATUS]]="LIQUIDADO","",Tabela4[[#This Row],[VCTO]]-$I$5)</f>
        <v/>
      </c>
      <c r="O138" s="218" t="s">
        <v>86</v>
      </c>
      <c r="P138" s="219"/>
      <c r="Q138" s="218"/>
      <c r="R138" s="218"/>
      <c r="S138" s="218" t="s">
        <v>151</v>
      </c>
      <c r="T138" s="5" t="s">
        <v>520</v>
      </c>
      <c r="U138" s="5"/>
      <c r="V138" s="5"/>
    </row>
    <row r="139" spans="1:22">
      <c r="A139" s="218" t="s">
        <v>108</v>
      </c>
      <c r="B139" s="219">
        <v>46001</v>
      </c>
      <c r="C139" s="6" t="s">
        <v>41</v>
      </c>
      <c r="D139" s="218">
        <v>686</v>
      </c>
      <c r="E139" s="10" t="s">
        <v>96</v>
      </c>
      <c r="F139" s="6" t="s">
        <v>469</v>
      </c>
      <c r="G139" s="225">
        <v>27686833000104</v>
      </c>
      <c r="H139" s="231">
        <v>1400</v>
      </c>
      <c r="I139" s="221">
        <v>46036</v>
      </c>
      <c r="J139" s="221" t="s">
        <v>91</v>
      </c>
      <c r="K139" s="218" t="s">
        <v>75</v>
      </c>
      <c r="L139" s="219">
        <v>46026</v>
      </c>
      <c r="M139" s="218" t="str">
        <f>IF(Tabela4[[#This Row],[RECOMPRADO]]="RECEBIDO","LIQUIDADO",IF(O139="LIQUIDADO","LIQUIDADO",IF(I139&lt;$I$5,"VENCIDO","A VENCER")))</f>
        <v>LIQUIDADO</v>
      </c>
      <c r="N139" s="222" t="str">
        <f>IF(Tabela4[[#This Row],[STATUS]]="LIQUIDADO","",Tabela4[[#This Row],[VCTO]]-$I$5)</f>
        <v/>
      </c>
      <c r="O139" s="218" t="s">
        <v>86</v>
      </c>
      <c r="P139" s="219"/>
      <c r="Q139" s="218"/>
      <c r="R139" s="218"/>
      <c r="S139" s="218"/>
      <c r="T139" s="218"/>
      <c r="U139" s="218"/>
      <c r="V139" s="5"/>
    </row>
    <row r="140" spans="1:22">
      <c r="A140" s="5" t="s">
        <v>0</v>
      </c>
      <c r="B140" s="6">
        <v>46002</v>
      </c>
      <c r="C140" s="5" t="s">
        <v>41</v>
      </c>
      <c r="D140" s="6" t="s">
        <v>289</v>
      </c>
      <c r="E140" s="10" t="s">
        <v>96</v>
      </c>
      <c r="F140" s="5" t="s">
        <v>264</v>
      </c>
      <c r="G140" s="225" t="s">
        <v>357</v>
      </c>
      <c r="H140" s="38">
        <v>1320</v>
      </c>
      <c r="I140" s="7">
        <v>46044</v>
      </c>
      <c r="J140" s="7" t="s">
        <v>91</v>
      </c>
      <c r="K140" s="218" t="s">
        <v>75</v>
      </c>
      <c r="L140" s="219">
        <v>46026</v>
      </c>
      <c r="M140" s="218" t="str">
        <f>IF(Tabela4[[#This Row],[RECOMPRADO]]="RECEBIDO","LIQUIDADO",IF(O140="LIQUIDADO","LIQUIDADO",IF(I140&lt;$I$5,"VENCIDO","A VENCER")))</f>
        <v>LIQUIDADO</v>
      </c>
      <c r="N140" s="222" t="str">
        <f>IF(Tabela4[[#This Row],[STATUS]]="LIQUIDADO","",Tabela4[[#This Row],[VCTO]]-$I$5)</f>
        <v/>
      </c>
      <c r="O140" s="5" t="s">
        <v>86</v>
      </c>
      <c r="P140" s="219"/>
      <c r="Q140" s="218"/>
      <c r="R140" s="218"/>
      <c r="S140" s="218"/>
      <c r="T140" s="218"/>
      <c r="U140" s="218"/>
      <c r="V140" s="5"/>
    </row>
    <row r="141" spans="1:22">
      <c r="A141" s="5" t="s">
        <v>0</v>
      </c>
      <c r="B141" s="6">
        <v>46002</v>
      </c>
      <c r="C141" s="6" t="s">
        <v>43</v>
      </c>
      <c r="D141" s="6" t="s">
        <v>289</v>
      </c>
      <c r="E141" s="10" t="s">
        <v>96</v>
      </c>
      <c r="F141" s="5" t="s">
        <v>264</v>
      </c>
      <c r="G141" s="225" t="s">
        <v>357</v>
      </c>
      <c r="H141" s="38">
        <v>1320</v>
      </c>
      <c r="I141" s="7">
        <v>46044</v>
      </c>
      <c r="J141" s="7" t="s">
        <v>91</v>
      </c>
      <c r="K141" s="218" t="s">
        <v>75</v>
      </c>
      <c r="L141" s="219">
        <v>46026</v>
      </c>
      <c r="M141" s="218" t="str">
        <f>IF(Tabela4[[#This Row],[RECOMPRADO]]="RECEBIDO","LIQUIDADO",IF(O141="LIQUIDADO","LIQUIDADO",IF(I141&lt;$I$5,"VENCIDO","A VENCER")))</f>
        <v>LIQUIDADO</v>
      </c>
      <c r="N141" s="222" t="str">
        <f>IF(Tabela4[[#This Row],[STATUS]]="LIQUIDADO","",Tabela4[[#This Row],[VCTO]]-$I$5)</f>
        <v/>
      </c>
      <c r="O141" s="5" t="s">
        <v>86</v>
      </c>
      <c r="P141" s="219"/>
      <c r="Q141" s="218"/>
      <c r="R141" s="218"/>
      <c r="S141" s="218"/>
      <c r="T141" s="218"/>
      <c r="U141" s="218"/>
      <c r="V141" s="5"/>
    </row>
    <row r="142" spans="1:22">
      <c r="A142" s="5" t="s">
        <v>0</v>
      </c>
      <c r="B142" s="6">
        <v>46002</v>
      </c>
      <c r="C142" s="5" t="s">
        <v>41</v>
      </c>
      <c r="D142" s="6" t="s">
        <v>290</v>
      </c>
      <c r="E142" s="10" t="s">
        <v>92</v>
      </c>
      <c r="F142" s="5" t="s">
        <v>301</v>
      </c>
      <c r="G142" s="225">
        <v>20891953000102</v>
      </c>
      <c r="H142" s="38">
        <v>1920</v>
      </c>
      <c r="I142" s="7">
        <v>46048</v>
      </c>
      <c r="J142" s="7" t="s">
        <v>91</v>
      </c>
      <c r="K142" s="218" t="s">
        <v>75</v>
      </c>
      <c r="L142" s="219">
        <v>46026</v>
      </c>
      <c r="M142" s="218" t="str">
        <f>IF(Tabela4[[#This Row],[RECOMPRADO]]="RECEBIDO","LIQUIDADO",IF(O142="LIQUIDADO","LIQUIDADO",IF(I142&lt;$I$5,"VENCIDO","A VENCER")))</f>
        <v>LIQUIDADO</v>
      </c>
      <c r="N142" s="222" t="str">
        <f>IF(Tabela4[[#This Row],[STATUS]]="LIQUIDADO","",Tabela4[[#This Row],[VCTO]]-$I$5)</f>
        <v/>
      </c>
      <c r="O142" s="5" t="s">
        <v>86</v>
      </c>
      <c r="P142" s="219"/>
      <c r="Q142" s="218"/>
      <c r="R142" s="218"/>
      <c r="S142" s="218"/>
      <c r="T142" s="218"/>
      <c r="U142" s="218"/>
      <c r="V142" s="5"/>
    </row>
    <row r="143" spans="1:22">
      <c r="A143" s="5" t="s">
        <v>0</v>
      </c>
      <c r="B143" s="6">
        <v>46002</v>
      </c>
      <c r="C143" s="5" t="s">
        <v>41</v>
      </c>
      <c r="D143" s="6" t="s">
        <v>291</v>
      </c>
      <c r="E143" s="10" t="s">
        <v>95</v>
      </c>
      <c r="F143" s="5" t="s">
        <v>100</v>
      </c>
      <c r="G143" s="225" t="s">
        <v>101</v>
      </c>
      <c r="H143" s="38">
        <v>2170</v>
      </c>
      <c r="I143" s="7">
        <v>46041</v>
      </c>
      <c r="J143" s="7" t="s">
        <v>91</v>
      </c>
      <c r="K143" s="218" t="s">
        <v>75</v>
      </c>
      <c r="L143" s="219">
        <v>46026</v>
      </c>
      <c r="M143" s="218" t="str">
        <f>IF(Tabela4[[#This Row],[RECOMPRADO]]="RECEBIDO","LIQUIDADO",IF(O143="LIQUIDADO","LIQUIDADO",IF(I143&lt;$I$5,"VENCIDO","A VENCER")))</f>
        <v>LIQUIDADO</v>
      </c>
      <c r="N143" s="222" t="str">
        <f>IF(Tabela4[[#This Row],[STATUS]]="LIQUIDADO","",Tabela4[[#This Row],[VCTO]]-$I$5)</f>
        <v/>
      </c>
      <c r="O143" s="5" t="s">
        <v>86</v>
      </c>
      <c r="P143" s="219"/>
      <c r="Q143" s="218"/>
      <c r="R143" s="218"/>
      <c r="S143" s="218"/>
      <c r="T143" s="218"/>
      <c r="U143" s="218"/>
      <c r="V143" s="5"/>
    </row>
    <row r="144" spans="1:22">
      <c r="A144" s="5" t="s">
        <v>0</v>
      </c>
      <c r="B144" s="6">
        <v>46002</v>
      </c>
      <c r="C144" s="5" t="s">
        <v>41</v>
      </c>
      <c r="D144" s="6" t="s">
        <v>291</v>
      </c>
      <c r="E144" s="10" t="s">
        <v>96</v>
      </c>
      <c r="F144" s="5" t="s">
        <v>100</v>
      </c>
      <c r="G144" s="225" t="s">
        <v>101</v>
      </c>
      <c r="H144" s="38">
        <v>2170</v>
      </c>
      <c r="I144" s="7">
        <v>46043</v>
      </c>
      <c r="J144" s="7" t="s">
        <v>91</v>
      </c>
      <c r="K144" s="218" t="s">
        <v>75</v>
      </c>
      <c r="L144" s="219">
        <v>46026</v>
      </c>
      <c r="M144" s="218" t="str">
        <f>IF(Tabela4[[#This Row],[RECOMPRADO]]="RECEBIDO","LIQUIDADO",IF(O144="LIQUIDADO","LIQUIDADO",IF(I144&lt;$I$5,"VENCIDO","A VENCER")))</f>
        <v>LIQUIDADO</v>
      </c>
      <c r="N144" s="222" t="str">
        <f>IF(Tabela4[[#This Row],[STATUS]]="LIQUIDADO","",Tabela4[[#This Row],[VCTO]]-$I$5)</f>
        <v/>
      </c>
      <c r="O144" s="5" t="s">
        <v>86</v>
      </c>
      <c r="P144" s="219"/>
      <c r="Q144" s="218"/>
      <c r="R144" s="218"/>
      <c r="S144" s="218"/>
      <c r="T144" s="218"/>
      <c r="U144" s="218"/>
      <c r="V144" s="5"/>
    </row>
    <row r="145" spans="1:22">
      <c r="A145" s="5" t="s">
        <v>0</v>
      </c>
      <c r="B145" s="6">
        <v>46002</v>
      </c>
      <c r="C145" s="5" t="s">
        <v>41</v>
      </c>
      <c r="D145" s="6" t="s">
        <v>291</v>
      </c>
      <c r="E145" s="10" t="s">
        <v>92</v>
      </c>
      <c r="F145" s="5" t="s">
        <v>100</v>
      </c>
      <c r="G145" s="225" t="s">
        <v>101</v>
      </c>
      <c r="H145" s="38">
        <v>2170</v>
      </c>
      <c r="I145" s="7">
        <v>46034</v>
      </c>
      <c r="J145" s="7" t="s">
        <v>91</v>
      </c>
      <c r="K145" s="218" t="s">
        <v>75</v>
      </c>
      <c r="L145" s="219">
        <v>46026</v>
      </c>
      <c r="M145" s="218" t="str">
        <f>IF(Tabela4[[#This Row],[RECOMPRADO]]="RECEBIDO","LIQUIDADO",IF(O145="LIQUIDADO","LIQUIDADO",IF(I145&lt;$I$5,"VENCIDO","A VENCER")))</f>
        <v>LIQUIDADO</v>
      </c>
      <c r="N145" s="222" t="str">
        <f>IF(Tabela4[[#This Row],[STATUS]]="LIQUIDADO","",Tabela4[[#This Row],[VCTO]]-$I$5)</f>
        <v/>
      </c>
      <c r="O145" s="5" t="s">
        <v>86</v>
      </c>
      <c r="P145" s="219"/>
      <c r="Q145" s="218"/>
      <c r="R145" s="218"/>
      <c r="S145" s="218"/>
      <c r="T145" s="218"/>
      <c r="U145" s="218"/>
      <c r="V145" s="5"/>
    </row>
    <row r="146" spans="1:22">
      <c r="A146" s="5" t="s">
        <v>108</v>
      </c>
      <c r="B146" s="6">
        <v>46002</v>
      </c>
      <c r="C146" s="5" t="s">
        <v>41</v>
      </c>
      <c r="D146" s="6" t="s">
        <v>292</v>
      </c>
      <c r="E146" s="10" t="s">
        <v>96</v>
      </c>
      <c r="F146" s="5" t="s">
        <v>302</v>
      </c>
      <c r="G146" s="225" t="s">
        <v>367</v>
      </c>
      <c r="H146" s="38">
        <v>3122.5</v>
      </c>
      <c r="I146" s="7">
        <v>46045</v>
      </c>
      <c r="J146" s="7" t="s">
        <v>91</v>
      </c>
      <c r="K146" s="218" t="s">
        <v>75</v>
      </c>
      <c r="L146" s="219">
        <v>46026</v>
      </c>
      <c r="M146" s="218" t="str">
        <f>IF(Tabela4[[#This Row],[RECOMPRADO]]="RECEBIDO","LIQUIDADO",IF(O146="LIQUIDADO","LIQUIDADO",IF(I146&lt;$I$5,"VENCIDO","A VENCER")))</f>
        <v>LIQUIDADO</v>
      </c>
      <c r="N146" s="222" t="str">
        <f>IF(Tabela4[[#This Row],[STATUS]]="LIQUIDADO","",Tabela4[[#This Row],[VCTO]]-$I$5)</f>
        <v/>
      </c>
      <c r="O146" s="5" t="s">
        <v>86</v>
      </c>
      <c r="P146" s="219"/>
      <c r="Q146" s="218"/>
      <c r="R146" s="218"/>
      <c r="S146" s="218"/>
      <c r="T146" s="218"/>
      <c r="U146" s="218"/>
      <c r="V146" s="5"/>
    </row>
    <row r="147" spans="1:22">
      <c r="A147" s="5" t="s">
        <v>0</v>
      </c>
      <c r="B147" s="6">
        <v>46002</v>
      </c>
      <c r="C147" s="5" t="s">
        <v>41</v>
      </c>
      <c r="D147" s="6" t="s">
        <v>289</v>
      </c>
      <c r="E147" s="10" t="s">
        <v>95</v>
      </c>
      <c r="F147" s="5" t="s">
        <v>264</v>
      </c>
      <c r="G147" s="225" t="s">
        <v>357</v>
      </c>
      <c r="H147" s="38">
        <v>1320</v>
      </c>
      <c r="I147" s="7">
        <v>46037</v>
      </c>
      <c r="J147" s="7" t="s">
        <v>91</v>
      </c>
      <c r="K147" s="218" t="s">
        <v>75</v>
      </c>
      <c r="L147" s="219">
        <v>46026</v>
      </c>
      <c r="M147" s="218" t="str">
        <f>IF(Tabela4[[#This Row],[RECOMPRADO]]="RECEBIDO","LIQUIDADO",IF(O147="LIQUIDADO","LIQUIDADO",IF(I147&lt;$I$5,"VENCIDO","A VENCER")))</f>
        <v>LIQUIDADO</v>
      </c>
      <c r="N147" s="222" t="str">
        <f>IF(Tabela4[[#This Row],[STATUS]]="LIQUIDADO","",Tabela4[[#This Row],[VCTO]]-$I$5)</f>
        <v/>
      </c>
      <c r="O147" s="5" t="s">
        <v>86</v>
      </c>
      <c r="P147" s="219"/>
      <c r="Q147" s="218"/>
      <c r="R147" s="218"/>
      <c r="S147" s="218"/>
      <c r="T147" s="218"/>
      <c r="U147" s="218"/>
      <c r="V147" s="5"/>
    </row>
    <row r="148" spans="1:22">
      <c r="A148" s="5" t="s">
        <v>108</v>
      </c>
      <c r="B148" s="6">
        <v>46002</v>
      </c>
      <c r="C148" s="5" t="s">
        <v>41</v>
      </c>
      <c r="D148" s="6" t="s">
        <v>292</v>
      </c>
      <c r="E148" s="10" t="s">
        <v>92</v>
      </c>
      <c r="F148" s="5" t="s">
        <v>302</v>
      </c>
      <c r="G148" s="225" t="s">
        <v>367</v>
      </c>
      <c r="H148" s="38">
        <v>3122.5</v>
      </c>
      <c r="I148" s="7">
        <v>46031</v>
      </c>
      <c r="J148" s="7" t="s">
        <v>91</v>
      </c>
      <c r="K148" s="218" t="s">
        <v>75</v>
      </c>
      <c r="L148" s="219">
        <v>46026</v>
      </c>
      <c r="M148" s="218" t="str">
        <f>IF(Tabela4[[#This Row],[RECOMPRADO]]="RECEBIDO","LIQUIDADO",IF(O148="LIQUIDADO","LIQUIDADO",IF(I148&lt;$I$5,"VENCIDO","A VENCER")))</f>
        <v>LIQUIDADO</v>
      </c>
      <c r="N148" s="222" t="str">
        <f>IF(Tabela4[[#This Row],[STATUS]]="LIQUIDADO","",Tabela4[[#This Row],[VCTO]]-$I$5)</f>
        <v/>
      </c>
      <c r="O148" s="5" t="s">
        <v>86</v>
      </c>
      <c r="P148" s="219"/>
      <c r="Q148" s="218"/>
      <c r="R148" s="218"/>
      <c r="S148" s="218"/>
      <c r="T148" s="218"/>
      <c r="U148" s="218"/>
      <c r="V148" s="5"/>
    </row>
    <row r="149" spans="1:22">
      <c r="A149" s="5" t="s">
        <v>0</v>
      </c>
      <c r="B149" s="6">
        <v>46002</v>
      </c>
      <c r="C149" s="5" t="s">
        <v>41</v>
      </c>
      <c r="D149" s="6" t="s">
        <v>289</v>
      </c>
      <c r="E149" s="10" t="s">
        <v>92</v>
      </c>
      <c r="F149" s="5" t="s">
        <v>264</v>
      </c>
      <c r="G149" s="225" t="s">
        <v>357</v>
      </c>
      <c r="H149" s="38">
        <v>1619.38</v>
      </c>
      <c r="I149" s="7">
        <v>46044</v>
      </c>
      <c r="J149" s="7" t="s">
        <v>91</v>
      </c>
      <c r="K149" s="218" t="s">
        <v>75</v>
      </c>
      <c r="L149" s="219">
        <v>46026</v>
      </c>
      <c r="M149" s="218" t="str">
        <f>IF(Tabela4[[#This Row],[RECOMPRADO]]="RECEBIDO","LIQUIDADO",IF(O149="LIQUIDADO","LIQUIDADO",IF(I149&lt;$I$5,"VENCIDO","A VENCER")))</f>
        <v>LIQUIDADO</v>
      </c>
      <c r="N149" s="222" t="str">
        <f>IF(Tabela4[[#This Row],[STATUS]]="LIQUIDADO","",Tabela4[[#This Row],[VCTO]]-$I$5)</f>
        <v/>
      </c>
      <c r="O149" s="5" t="s">
        <v>86</v>
      </c>
      <c r="P149" s="219"/>
      <c r="Q149" s="218"/>
      <c r="R149" s="218"/>
      <c r="S149" s="218"/>
      <c r="T149" s="218"/>
      <c r="U149" s="218"/>
      <c r="V149" s="5"/>
    </row>
    <row r="150" spans="1:22">
      <c r="A150" s="5" t="s">
        <v>108</v>
      </c>
      <c r="B150" s="6">
        <v>46002</v>
      </c>
      <c r="C150" s="5" t="s">
        <v>41</v>
      </c>
      <c r="D150" s="6" t="s">
        <v>293</v>
      </c>
      <c r="E150" s="10" t="s">
        <v>92</v>
      </c>
      <c r="F150" s="5" t="s">
        <v>303</v>
      </c>
      <c r="G150" s="225" t="s">
        <v>368</v>
      </c>
      <c r="H150" s="38">
        <v>3900</v>
      </c>
      <c r="I150" s="7">
        <v>46035</v>
      </c>
      <c r="J150" s="7" t="s">
        <v>91</v>
      </c>
      <c r="K150" s="218" t="s">
        <v>75</v>
      </c>
      <c r="L150" s="219">
        <v>46026</v>
      </c>
      <c r="M150" s="218" t="str">
        <f>IF(Tabela4[[#This Row],[RECOMPRADO]]="RECEBIDO","LIQUIDADO",IF(O150="LIQUIDADO","LIQUIDADO",IF(I150&lt;$I$5,"VENCIDO","A VENCER")))</f>
        <v>LIQUIDADO</v>
      </c>
      <c r="N150" s="222" t="str">
        <f>IF(Tabela4[[#This Row],[STATUS]]="LIQUIDADO","",Tabela4[[#This Row],[VCTO]]-$I$5)</f>
        <v/>
      </c>
      <c r="O150" s="5" t="s">
        <v>86</v>
      </c>
      <c r="P150" s="219"/>
      <c r="Q150" s="218"/>
      <c r="R150" s="218"/>
      <c r="S150" s="218"/>
      <c r="T150" s="218"/>
      <c r="U150" s="218"/>
      <c r="V150" s="5"/>
    </row>
    <row r="151" spans="1:22">
      <c r="A151" s="218" t="s">
        <v>108</v>
      </c>
      <c r="B151" s="219">
        <v>46002</v>
      </c>
      <c r="C151" s="6" t="s">
        <v>41</v>
      </c>
      <c r="D151" s="230" t="s">
        <v>292</v>
      </c>
      <c r="E151" s="10" t="s">
        <v>95</v>
      </c>
      <c r="F151" s="5" t="s">
        <v>302</v>
      </c>
      <c r="G151" s="225" t="s">
        <v>367</v>
      </c>
      <c r="H151" s="38">
        <v>3122.5</v>
      </c>
      <c r="I151" s="7">
        <v>46038</v>
      </c>
      <c r="J151" s="7" t="s">
        <v>91</v>
      </c>
      <c r="K151" s="218" t="s">
        <v>75</v>
      </c>
      <c r="L151" s="219">
        <v>46026</v>
      </c>
      <c r="M151" s="218" t="str">
        <f>IF(Tabela4[[#This Row],[RECOMPRADO]]="RECEBIDO","LIQUIDADO",IF(O151="LIQUIDADO","LIQUIDADO",IF(I151&lt;$I$5,"VENCIDO","A VENCER")))</f>
        <v>LIQUIDADO</v>
      </c>
      <c r="N151" s="222" t="str">
        <f>IF(Tabela4[[#This Row],[STATUS]]="LIQUIDADO","",Tabela4[[#This Row],[VCTO]]-$I$5)</f>
        <v/>
      </c>
      <c r="O151" s="5" t="s">
        <v>86</v>
      </c>
      <c r="P151" s="219"/>
      <c r="Q151" s="218"/>
      <c r="R151" s="218"/>
      <c r="S151" s="218"/>
      <c r="T151" s="218"/>
      <c r="U151" s="218"/>
      <c r="V151" s="5"/>
    </row>
    <row r="152" spans="1:22">
      <c r="A152" s="5" t="s">
        <v>0</v>
      </c>
      <c r="B152" s="6">
        <v>46002</v>
      </c>
      <c r="C152" s="6" t="s">
        <v>41</v>
      </c>
      <c r="D152" s="5" t="s">
        <v>308</v>
      </c>
      <c r="E152" s="10" t="s">
        <v>92</v>
      </c>
      <c r="F152" s="5" t="s">
        <v>24</v>
      </c>
      <c r="G152" s="225" t="s">
        <v>59</v>
      </c>
      <c r="H152" s="38">
        <v>49863.6</v>
      </c>
      <c r="I152" s="7">
        <v>46030</v>
      </c>
      <c r="J152" s="7" t="s">
        <v>91</v>
      </c>
      <c r="K152" s="218" t="s">
        <v>76</v>
      </c>
      <c r="L152" s="6">
        <v>46037</v>
      </c>
      <c r="M152" s="218" t="str">
        <f>IF(Tabela4[[#This Row],[RECOMPRADO]]="RECEBIDO","LIQUIDADO",IF(O152="LIQUIDADO","LIQUIDADO",IF(I152&lt;$I$5,"VENCIDO","A VENCER")))</f>
        <v>LIQUIDADO</v>
      </c>
      <c r="N152" s="222" t="str">
        <f>IF(Tabela4[[#This Row],[STATUS]]="LIQUIDADO","",Tabela4[[#This Row],[VCTO]]-$I$5)</f>
        <v/>
      </c>
      <c r="O152" s="218" t="s">
        <v>86</v>
      </c>
      <c r="P152" s="219"/>
      <c r="Q152" s="218"/>
      <c r="R152" s="218"/>
      <c r="S152" s="218"/>
      <c r="T152" s="218"/>
      <c r="U152" s="218"/>
      <c r="V152" s="5"/>
    </row>
    <row r="153" spans="1:22">
      <c r="A153" s="5" t="s">
        <v>0</v>
      </c>
      <c r="B153" s="6">
        <v>46002</v>
      </c>
      <c r="C153" s="6" t="s">
        <v>41</v>
      </c>
      <c r="D153" s="5" t="s">
        <v>309</v>
      </c>
      <c r="E153" s="10" t="s">
        <v>92</v>
      </c>
      <c r="F153" s="5" t="s">
        <v>24</v>
      </c>
      <c r="G153" s="225" t="s">
        <v>59</v>
      </c>
      <c r="H153" s="38">
        <v>12781.8</v>
      </c>
      <c r="I153" s="7">
        <v>46030</v>
      </c>
      <c r="J153" s="7" t="s">
        <v>91</v>
      </c>
      <c r="K153" s="218" t="s">
        <v>76</v>
      </c>
      <c r="L153" s="6">
        <v>46037</v>
      </c>
      <c r="M153" s="218" t="str">
        <f>IF(Tabela4[[#This Row],[RECOMPRADO]]="RECEBIDO","LIQUIDADO",IF(O153="LIQUIDADO","LIQUIDADO",IF(I153&lt;$I$5,"VENCIDO","A VENCER")))</f>
        <v>LIQUIDADO</v>
      </c>
      <c r="N153" s="222" t="str">
        <f>IF(Tabela4[[#This Row],[STATUS]]="LIQUIDADO","",Tabela4[[#This Row],[VCTO]]-$I$5)</f>
        <v/>
      </c>
      <c r="O153" s="218" t="s">
        <v>86</v>
      </c>
      <c r="P153" s="219"/>
      <c r="Q153" s="218"/>
      <c r="R153" s="218"/>
      <c r="S153" s="218"/>
      <c r="T153" s="218"/>
      <c r="U153" s="218"/>
      <c r="V153" s="5"/>
    </row>
    <row r="154" spans="1:22">
      <c r="A154" s="5" t="s">
        <v>0</v>
      </c>
      <c r="B154" s="6">
        <v>46002</v>
      </c>
      <c r="C154" s="6" t="s">
        <v>43</v>
      </c>
      <c r="D154" s="5" t="s">
        <v>291</v>
      </c>
      <c r="E154" s="10" t="s">
        <v>95</v>
      </c>
      <c r="F154" s="5" t="s">
        <v>100</v>
      </c>
      <c r="G154" s="225" t="s">
        <v>101</v>
      </c>
      <c r="H154" s="38">
        <v>5063.33</v>
      </c>
      <c r="I154" s="7">
        <v>46041</v>
      </c>
      <c r="J154" s="7" t="s">
        <v>91</v>
      </c>
      <c r="K154" s="218" t="s">
        <v>77</v>
      </c>
      <c r="L154" s="219">
        <v>46025</v>
      </c>
      <c r="M154" s="218" t="str">
        <f>IF(Tabela4[[#This Row],[RECOMPRADO]]="RECEBIDO","LIQUIDADO",IF(O154="LIQUIDADO","LIQUIDADO",IF(I154&lt;$I$5,"VENCIDO","A VENCER")))</f>
        <v>LIQUIDADO</v>
      </c>
      <c r="N154" s="222" t="str">
        <f>IF(Tabela4[[#This Row],[STATUS]]="LIQUIDADO","",Tabela4[[#This Row],[VCTO]]-$I$5)</f>
        <v/>
      </c>
      <c r="O154" s="218" t="s">
        <v>86</v>
      </c>
      <c r="P154" s="219"/>
      <c r="Q154" s="218"/>
      <c r="R154" s="218"/>
      <c r="S154" s="218"/>
      <c r="T154" s="218"/>
      <c r="U154" s="218"/>
      <c r="V154" s="5"/>
    </row>
    <row r="155" spans="1:22">
      <c r="A155" s="5" t="s">
        <v>7</v>
      </c>
      <c r="B155" s="6">
        <v>46002</v>
      </c>
      <c r="C155" s="6" t="s">
        <v>41</v>
      </c>
      <c r="D155" s="5" t="s">
        <v>319</v>
      </c>
      <c r="E155" s="10" t="s">
        <v>95</v>
      </c>
      <c r="F155" s="5" t="s">
        <v>337</v>
      </c>
      <c r="G155" s="225" t="s">
        <v>373</v>
      </c>
      <c r="H155" s="38">
        <v>1845</v>
      </c>
      <c r="I155" s="7">
        <v>46051</v>
      </c>
      <c r="J155" s="7" t="s">
        <v>91</v>
      </c>
      <c r="K155" s="218" t="s">
        <v>77</v>
      </c>
      <c r="L155" s="219">
        <v>46025</v>
      </c>
      <c r="M155" s="218" t="str">
        <f>IF(Tabela4[[#This Row],[RECOMPRADO]]="RECEBIDO","LIQUIDADO",IF(O155="LIQUIDADO","LIQUIDADO",IF(I155&lt;$I$5,"VENCIDO","A VENCER")))</f>
        <v>LIQUIDADO</v>
      </c>
      <c r="N155" s="222" t="str">
        <f>IF(Tabela4[[#This Row],[STATUS]]="LIQUIDADO","",Tabela4[[#This Row],[VCTO]]-$I$5)</f>
        <v/>
      </c>
      <c r="O155" s="218" t="s">
        <v>86</v>
      </c>
      <c r="P155" s="219"/>
      <c r="Q155" s="218"/>
      <c r="R155" s="218"/>
      <c r="S155" s="218"/>
      <c r="T155" s="218"/>
      <c r="U155" s="218"/>
      <c r="V155" s="5"/>
    </row>
    <row r="156" spans="1:22">
      <c r="A156" s="5" t="s">
        <v>0</v>
      </c>
      <c r="B156" s="6">
        <v>46002</v>
      </c>
      <c r="C156" s="6" t="s">
        <v>43</v>
      </c>
      <c r="D156" s="5" t="s">
        <v>291</v>
      </c>
      <c r="E156" s="10" t="s">
        <v>96</v>
      </c>
      <c r="F156" s="5" t="s">
        <v>100</v>
      </c>
      <c r="G156" s="225" t="s">
        <v>101</v>
      </c>
      <c r="H156" s="38">
        <v>5063.34</v>
      </c>
      <c r="I156" s="7">
        <v>46048</v>
      </c>
      <c r="J156" s="7" t="s">
        <v>91</v>
      </c>
      <c r="K156" s="218" t="s">
        <v>77</v>
      </c>
      <c r="L156" s="219">
        <v>46025</v>
      </c>
      <c r="M156" s="218" t="str">
        <f>IF(Tabela4[[#This Row],[RECOMPRADO]]="RECEBIDO","LIQUIDADO",IF(O156="LIQUIDADO","LIQUIDADO",IF(I156&lt;$I$5,"VENCIDO","A VENCER")))</f>
        <v>LIQUIDADO</v>
      </c>
      <c r="N156" s="222" t="str">
        <f>IF(Tabela4[[#This Row],[STATUS]]="LIQUIDADO","",Tabela4[[#This Row],[VCTO]]-$I$5)</f>
        <v/>
      </c>
      <c r="O156" s="218" t="s">
        <v>86</v>
      </c>
      <c r="P156" s="219"/>
      <c r="Q156" s="218"/>
      <c r="R156" s="218"/>
      <c r="S156" s="218"/>
      <c r="T156" s="218"/>
      <c r="U156" s="218"/>
      <c r="V156" s="5"/>
    </row>
    <row r="157" spans="1:22">
      <c r="A157" s="5" t="s">
        <v>0</v>
      </c>
      <c r="B157" s="6">
        <v>46002</v>
      </c>
      <c r="C157" s="6" t="s">
        <v>43</v>
      </c>
      <c r="D157" s="5" t="s">
        <v>291</v>
      </c>
      <c r="E157" s="10" t="s">
        <v>92</v>
      </c>
      <c r="F157" s="5" t="s">
        <v>100</v>
      </c>
      <c r="G157" s="225" t="s">
        <v>101</v>
      </c>
      <c r="H157" s="38">
        <v>5063.33</v>
      </c>
      <c r="I157" s="7">
        <v>46034</v>
      </c>
      <c r="J157" s="7" t="s">
        <v>91</v>
      </c>
      <c r="K157" s="218" t="s">
        <v>77</v>
      </c>
      <c r="L157" s="219">
        <v>46025</v>
      </c>
      <c r="M157" s="218" t="str">
        <f>IF(Tabela4[[#This Row],[RECOMPRADO]]="RECEBIDO","LIQUIDADO",IF(O157="LIQUIDADO","LIQUIDADO",IF(I157&lt;$I$5,"VENCIDO","A VENCER")))</f>
        <v>LIQUIDADO</v>
      </c>
      <c r="N157" s="222" t="str">
        <f>IF(Tabela4[[#This Row],[STATUS]]="LIQUIDADO","",Tabela4[[#This Row],[VCTO]]-$I$5)</f>
        <v/>
      </c>
      <c r="O157" s="218" t="s">
        <v>86</v>
      </c>
      <c r="P157" s="219"/>
      <c r="Q157" s="218"/>
      <c r="R157" s="218"/>
      <c r="S157" s="218"/>
      <c r="T157" s="218"/>
      <c r="U157" s="218"/>
      <c r="V157" s="5"/>
    </row>
    <row r="158" spans="1:22">
      <c r="A158" s="5" t="s">
        <v>0</v>
      </c>
      <c r="B158" s="6">
        <v>46002</v>
      </c>
      <c r="C158" s="6" t="s">
        <v>43</v>
      </c>
      <c r="D158" s="5" t="s">
        <v>289</v>
      </c>
      <c r="E158" s="10" t="s">
        <v>92</v>
      </c>
      <c r="F158" s="5" t="s">
        <v>264</v>
      </c>
      <c r="G158" s="225" t="s">
        <v>357</v>
      </c>
      <c r="H158" s="38">
        <v>1320</v>
      </c>
      <c r="I158" s="7">
        <v>46030</v>
      </c>
      <c r="J158" s="7" t="s">
        <v>91</v>
      </c>
      <c r="K158" s="218" t="s">
        <v>77</v>
      </c>
      <c r="L158" s="219">
        <v>46025</v>
      </c>
      <c r="M158" s="218" t="str">
        <f>IF(Tabela4[[#This Row],[RECOMPRADO]]="RECEBIDO","LIQUIDADO",IF(O158="LIQUIDADO","LIQUIDADO",IF(I158&lt;$I$5,"VENCIDO","A VENCER")))</f>
        <v>LIQUIDADO</v>
      </c>
      <c r="N158" s="222" t="str">
        <f>IF(Tabela4[[#This Row],[STATUS]]="LIQUIDADO","",Tabela4[[#This Row],[VCTO]]-$I$5)</f>
        <v/>
      </c>
      <c r="O158" s="218" t="s">
        <v>86</v>
      </c>
      <c r="P158" s="219"/>
      <c r="Q158" s="218"/>
      <c r="R158" s="218"/>
      <c r="S158" s="218"/>
      <c r="T158" s="218"/>
      <c r="U158" s="218"/>
      <c r="V158" s="5"/>
    </row>
    <row r="159" spans="1:22">
      <c r="A159" s="5" t="s">
        <v>0</v>
      </c>
      <c r="B159" s="6">
        <v>46002</v>
      </c>
      <c r="C159" s="6" t="s">
        <v>43</v>
      </c>
      <c r="D159" s="5" t="s">
        <v>289</v>
      </c>
      <c r="E159" s="10" t="s">
        <v>95</v>
      </c>
      <c r="F159" s="5" t="s">
        <v>264</v>
      </c>
      <c r="G159" s="225" t="s">
        <v>357</v>
      </c>
      <c r="H159" s="38">
        <v>1320</v>
      </c>
      <c r="I159" s="7">
        <v>46037</v>
      </c>
      <c r="J159" s="7" t="s">
        <v>91</v>
      </c>
      <c r="K159" s="218" t="s">
        <v>77</v>
      </c>
      <c r="L159" s="219">
        <v>46025</v>
      </c>
      <c r="M159" s="218" t="str">
        <f>IF(Tabela4[[#This Row],[RECOMPRADO]]="RECEBIDO","LIQUIDADO",IF(O159="LIQUIDADO","LIQUIDADO",IF(I159&lt;$I$5,"VENCIDO","A VENCER")))</f>
        <v>LIQUIDADO</v>
      </c>
      <c r="N159" s="222" t="str">
        <f>IF(Tabela4[[#This Row],[STATUS]]="LIQUIDADO","",Tabela4[[#This Row],[VCTO]]-$I$5)</f>
        <v/>
      </c>
      <c r="O159" s="218" t="s">
        <v>86</v>
      </c>
      <c r="P159" s="219"/>
      <c r="Q159" s="218"/>
      <c r="R159" s="218"/>
      <c r="S159" s="218"/>
      <c r="T159" s="218"/>
      <c r="U159" s="218"/>
      <c r="V159" s="5"/>
    </row>
    <row r="160" spans="1:22">
      <c r="A160" s="5" t="s">
        <v>7</v>
      </c>
      <c r="B160" s="6">
        <v>46002</v>
      </c>
      <c r="C160" s="6" t="s">
        <v>41</v>
      </c>
      <c r="D160" s="5" t="s">
        <v>319</v>
      </c>
      <c r="E160" s="10" t="s">
        <v>92</v>
      </c>
      <c r="F160" s="5" t="s">
        <v>337</v>
      </c>
      <c r="G160" s="225" t="s">
        <v>373</v>
      </c>
      <c r="H160" s="38">
        <v>1845</v>
      </c>
      <c r="I160" s="7">
        <v>46036</v>
      </c>
      <c r="J160" s="7" t="s">
        <v>91</v>
      </c>
      <c r="K160" s="218" t="s">
        <v>77</v>
      </c>
      <c r="L160" s="219">
        <v>46025</v>
      </c>
      <c r="M160" s="218" t="str">
        <f>IF(Tabela4[[#This Row],[RECOMPRADO]]="RECEBIDO","LIQUIDADO",IF(O160="LIQUIDADO","LIQUIDADO",IF(I160&lt;$I$5,"VENCIDO","A VENCER")))</f>
        <v>LIQUIDADO</v>
      </c>
      <c r="N160" s="222" t="str">
        <f>IF(Tabela4[[#This Row],[STATUS]]="LIQUIDADO","",Tabela4[[#This Row],[VCTO]]-$I$5)</f>
        <v/>
      </c>
      <c r="O160" s="218" t="s">
        <v>86</v>
      </c>
      <c r="P160" s="219"/>
      <c r="Q160" s="218"/>
      <c r="R160" s="218"/>
      <c r="S160" s="218"/>
      <c r="T160" s="218"/>
      <c r="U160" s="218"/>
      <c r="V160" s="5"/>
    </row>
    <row r="161" spans="1:22">
      <c r="A161" s="218" t="s">
        <v>108</v>
      </c>
      <c r="B161" s="219">
        <v>46002</v>
      </c>
      <c r="C161" s="6" t="s">
        <v>41</v>
      </c>
      <c r="D161" s="230">
        <v>690</v>
      </c>
      <c r="E161" s="10" t="s">
        <v>97</v>
      </c>
      <c r="F161" s="5" t="s">
        <v>302</v>
      </c>
      <c r="G161" s="225" t="s">
        <v>367</v>
      </c>
      <c r="H161" s="38">
        <v>3122.5</v>
      </c>
      <c r="I161" s="7">
        <v>46052</v>
      </c>
      <c r="J161" s="7" t="s">
        <v>91</v>
      </c>
      <c r="K161" s="218" t="s">
        <v>75</v>
      </c>
      <c r="L161" s="219">
        <v>46026</v>
      </c>
      <c r="M161" s="218" t="str">
        <f>IF(Tabela4[[#This Row],[RECOMPRADO]]="RECEBIDO","LIQUIDADO",IF(O161="LIQUIDADO","LIQUIDADO",IF(I161&lt;$I$5,"VENCIDO","A VENCER")))</f>
        <v>LIQUIDADO</v>
      </c>
      <c r="N161" s="222" t="str">
        <f>IF(Tabela4[[#This Row],[STATUS]]="LIQUIDADO","",Tabela4[[#This Row],[VCTO]]-$I$5)</f>
        <v/>
      </c>
      <c r="O161" s="5" t="s">
        <v>86</v>
      </c>
      <c r="P161" s="219"/>
      <c r="Q161" s="218"/>
      <c r="R161" s="218"/>
      <c r="S161" s="218"/>
      <c r="T161" s="218"/>
      <c r="U161" s="218"/>
      <c r="V161" s="5"/>
    </row>
    <row r="162" spans="1:22">
      <c r="A162" s="218" t="s">
        <v>0</v>
      </c>
      <c r="B162" s="219">
        <v>46003</v>
      </c>
      <c r="C162" s="6" t="s">
        <v>41</v>
      </c>
      <c r="D162" s="230" t="s">
        <v>294</v>
      </c>
      <c r="E162" s="10" t="s">
        <v>95</v>
      </c>
      <c r="F162" s="5" t="s">
        <v>304</v>
      </c>
      <c r="G162" s="225" t="s">
        <v>358</v>
      </c>
      <c r="H162" s="38">
        <v>1887.96</v>
      </c>
      <c r="I162" s="7">
        <v>46048</v>
      </c>
      <c r="J162" s="7" t="s">
        <v>91</v>
      </c>
      <c r="K162" s="218" t="s">
        <v>75</v>
      </c>
      <c r="L162" s="219">
        <v>46026</v>
      </c>
      <c r="M162" s="218" t="str">
        <f>IF(Tabela4[[#This Row],[RECOMPRADO]]="RECEBIDO","LIQUIDADO",IF(O162="LIQUIDADO","LIQUIDADO",IF(I162&lt;$I$5,"VENCIDO","A VENCER")))</f>
        <v>LIQUIDADO</v>
      </c>
      <c r="N162" s="222" t="str">
        <f>IF(Tabela4[[#This Row],[STATUS]]="LIQUIDADO","",Tabela4[[#This Row],[VCTO]]-$I$5)</f>
        <v/>
      </c>
      <c r="O162" s="5" t="s">
        <v>86</v>
      </c>
      <c r="P162" s="219"/>
      <c r="Q162" s="218"/>
      <c r="R162" s="218"/>
      <c r="S162" s="218"/>
      <c r="T162" s="218"/>
      <c r="U162" s="218"/>
      <c r="V162" s="5"/>
    </row>
    <row r="163" spans="1:22">
      <c r="A163" s="218" t="s">
        <v>0</v>
      </c>
      <c r="B163" s="219">
        <v>46003</v>
      </c>
      <c r="C163" s="6" t="s">
        <v>41</v>
      </c>
      <c r="D163" s="230" t="s">
        <v>294</v>
      </c>
      <c r="E163" s="10" t="s">
        <v>92</v>
      </c>
      <c r="F163" s="5" t="s">
        <v>304</v>
      </c>
      <c r="G163" s="225" t="s">
        <v>358</v>
      </c>
      <c r="H163" s="38">
        <v>2458.87</v>
      </c>
      <c r="I163" s="7">
        <v>46038</v>
      </c>
      <c r="J163" s="7" t="s">
        <v>91</v>
      </c>
      <c r="K163" s="218" t="s">
        <v>75</v>
      </c>
      <c r="L163" s="219">
        <v>46026</v>
      </c>
      <c r="M163" s="218" t="str">
        <f>IF(Tabela4[[#This Row],[RECOMPRADO]]="RECEBIDO","LIQUIDADO",IF(O163="LIQUIDADO","LIQUIDADO",IF(I163&lt;$I$5,"VENCIDO","A VENCER")))</f>
        <v>LIQUIDADO</v>
      </c>
      <c r="N163" s="222" t="str">
        <f>IF(Tabela4[[#This Row],[STATUS]]="LIQUIDADO","",Tabela4[[#This Row],[VCTO]]-$I$5)</f>
        <v/>
      </c>
      <c r="O163" s="5" t="s">
        <v>86</v>
      </c>
      <c r="P163" s="219"/>
      <c r="Q163" s="218"/>
      <c r="R163" s="218"/>
      <c r="S163" s="218"/>
      <c r="T163" s="218"/>
      <c r="U163" s="218"/>
      <c r="V163" s="5"/>
    </row>
    <row r="164" spans="1:22">
      <c r="A164" s="5" t="s">
        <v>0</v>
      </c>
      <c r="B164" s="6">
        <v>46003</v>
      </c>
      <c r="C164" s="6" t="s">
        <v>41</v>
      </c>
      <c r="D164" s="5" t="s">
        <v>310</v>
      </c>
      <c r="E164" s="10" t="s">
        <v>92</v>
      </c>
      <c r="F164" s="5" t="s">
        <v>24</v>
      </c>
      <c r="G164" s="225" t="s">
        <v>59</v>
      </c>
      <c r="H164" s="38">
        <v>58125</v>
      </c>
      <c r="I164" s="7">
        <v>46031</v>
      </c>
      <c r="J164" s="7" t="s">
        <v>91</v>
      </c>
      <c r="K164" s="218" t="s">
        <v>76</v>
      </c>
      <c r="L164" s="6">
        <v>46037</v>
      </c>
      <c r="M164" s="218" t="str">
        <f>IF(Tabela4[[#This Row],[RECOMPRADO]]="RECEBIDO","LIQUIDADO",IF(O164="LIQUIDADO","LIQUIDADO",IF(I164&lt;$I$5,"VENCIDO","A VENCER")))</f>
        <v>LIQUIDADO</v>
      </c>
      <c r="N164" s="222" t="str">
        <f>IF(Tabela4[[#This Row],[STATUS]]="LIQUIDADO","",Tabela4[[#This Row],[VCTO]]-$I$5)</f>
        <v/>
      </c>
      <c r="O164" s="218" t="s">
        <v>86</v>
      </c>
      <c r="P164" s="219"/>
      <c r="Q164" s="218"/>
      <c r="R164" s="218"/>
      <c r="S164" s="218"/>
      <c r="T164" s="218"/>
      <c r="U164" s="218"/>
      <c r="V164" s="5"/>
    </row>
    <row r="165" spans="1:22">
      <c r="A165" s="5" t="s">
        <v>0</v>
      </c>
      <c r="B165" s="6">
        <v>46003</v>
      </c>
      <c r="C165" s="6" t="s">
        <v>43</v>
      </c>
      <c r="D165" s="5" t="s">
        <v>294</v>
      </c>
      <c r="E165" s="10" t="s">
        <v>95</v>
      </c>
      <c r="F165" s="5" t="s">
        <v>304</v>
      </c>
      <c r="G165" s="225" t="s">
        <v>358</v>
      </c>
      <c r="H165" s="38">
        <v>1887.96</v>
      </c>
      <c r="I165" s="7">
        <v>46048</v>
      </c>
      <c r="J165" s="7" t="s">
        <v>91</v>
      </c>
      <c r="K165" s="218" t="s">
        <v>77</v>
      </c>
      <c r="L165" s="219">
        <v>46025</v>
      </c>
      <c r="M165" s="218" t="str">
        <f>IF(Tabela4[[#This Row],[RECOMPRADO]]="RECEBIDO","LIQUIDADO",IF(O165="LIQUIDADO","LIQUIDADO",IF(I165&lt;$I$5,"VENCIDO","A VENCER")))</f>
        <v>LIQUIDADO</v>
      </c>
      <c r="N165" s="222" t="str">
        <f>IF(Tabela4[[#This Row],[STATUS]]="LIQUIDADO","",Tabela4[[#This Row],[VCTO]]-$I$5)</f>
        <v/>
      </c>
      <c r="O165" s="218" t="s">
        <v>86</v>
      </c>
      <c r="P165" s="219"/>
      <c r="Q165" s="218"/>
      <c r="R165" s="218"/>
      <c r="S165" s="218"/>
      <c r="T165" s="218"/>
      <c r="U165" s="218"/>
      <c r="V165" s="5"/>
    </row>
    <row r="166" spans="1:22">
      <c r="A166" s="5" t="s">
        <v>7</v>
      </c>
      <c r="B166" s="6">
        <v>46003</v>
      </c>
      <c r="C166" s="6" t="s">
        <v>41</v>
      </c>
      <c r="D166" s="5" t="s">
        <v>320</v>
      </c>
      <c r="E166" s="10" t="s">
        <v>92</v>
      </c>
      <c r="F166" s="5" t="s">
        <v>338</v>
      </c>
      <c r="G166" s="225" t="s">
        <v>374</v>
      </c>
      <c r="H166" s="38">
        <v>3752.1</v>
      </c>
      <c r="I166" s="7">
        <v>46031</v>
      </c>
      <c r="J166" s="7" t="s">
        <v>91</v>
      </c>
      <c r="K166" s="218" t="s">
        <v>77</v>
      </c>
      <c r="L166" s="219">
        <v>46025</v>
      </c>
      <c r="M166" s="218" t="str">
        <f>IF(Tabela4[[#This Row],[RECOMPRADO]]="RECEBIDO","LIQUIDADO",IF(O166="LIQUIDADO","LIQUIDADO",IF(I166&lt;$I$5,"VENCIDO","A VENCER")))</f>
        <v>LIQUIDADO</v>
      </c>
      <c r="N166" s="222" t="str">
        <f>IF(Tabela4[[#This Row],[STATUS]]="LIQUIDADO","",Tabela4[[#This Row],[VCTO]]-$I$5)</f>
        <v/>
      </c>
      <c r="O166" s="218" t="s">
        <v>86</v>
      </c>
      <c r="P166" s="219"/>
      <c r="Q166" s="218"/>
      <c r="R166" s="218"/>
      <c r="S166" s="218"/>
      <c r="T166" s="218"/>
      <c r="U166" s="218"/>
      <c r="V166" s="5"/>
    </row>
    <row r="167" spans="1:22">
      <c r="A167" s="5" t="s">
        <v>0</v>
      </c>
      <c r="B167" s="6">
        <v>46003</v>
      </c>
      <c r="C167" s="6" t="s">
        <v>43</v>
      </c>
      <c r="D167" s="5" t="s">
        <v>294</v>
      </c>
      <c r="E167" s="10" t="s">
        <v>92</v>
      </c>
      <c r="F167" s="5" t="s">
        <v>304</v>
      </c>
      <c r="G167" s="225" t="s">
        <v>358</v>
      </c>
      <c r="H167" s="38">
        <v>1887.96</v>
      </c>
      <c r="I167" s="7">
        <v>46038</v>
      </c>
      <c r="J167" s="7" t="s">
        <v>91</v>
      </c>
      <c r="K167" s="218" t="s">
        <v>77</v>
      </c>
      <c r="L167" s="219">
        <v>46025</v>
      </c>
      <c r="M167" s="218" t="str">
        <f>IF(Tabela4[[#This Row],[RECOMPRADO]]="RECEBIDO","LIQUIDADO",IF(O167="LIQUIDADO","LIQUIDADO",IF(I167&lt;$I$5,"VENCIDO","A VENCER")))</f>
        <v>LIQUIDADO</v>
      </c>
      <c r="N167" s="222" t="str">
        <f>IF(Tabela4[[#This Row],[STATUS]]="LIQUIDADO","",Tabela4[[#This Row],[VCTO]]-$I$5)</f>
        <v/>
      </c>
      <c r="O167" s="218" t="s">
        <v>86</v>
      </c>
      <c r="P167" s="219"/>
      <c r="Q167" s="218"/>
      <c r="R167" s="218"/>
      <c r="S167" s="218"/>
      <c r="T167" s="218"/>
      <c r="U167" s="218"/>
      <c r="V167" s="5"/>
    </row>
    <row r="168" spans="1:22">
      <c r="A168" s="5" t="s">
        <v>7</v>
      </c>
      <c r="B168" s="6">
        <v>46003</v>
      </c>
      <c r="C168" s="6" t="s">
        <v>41</v>
      </c>
      <c r="D168" s="5" t="s">
        <v>320</v>
      </c>
      <c r="E168" s="10" t="s">
        <v>92</v>
      </c>
      <c r="F168" s="5" t="s">
        <v>338</v>
      </c>
      <c r="G168" s="225" t="s">
        <v>374</v>
      </c>
      <c r="H168" s="38">
        <v>3411</v>
      </c>
      <c r="I168" s="7">
        <v>46031</v>
      </c>
      <c r="J168" s="7" t="s">
        <v>91</v>
      </c>
      <c r="K168" s="218" t="s">
        <v>77</v>
      </c>
      <c r="L168" s="219">
        <v>46025</v>
      </c>
      <c r="M168" s="218" t="str">
        <f>IF(Tabela4[[#This Row],[RECOMPRADO]]="RECEBIDO","LIQUIDADO",IF(O168="LIQUIDADO","LIQUIDADO",IF(I168&lt;$I$5,"VENCIDO","A VENCER")))</f>
        <v>LIQUIDADO</v>
      </c>
      <c r="N168" s="222" t="str">
        <f>IF(Tabela4[[#This Row],[STATUS]]="LIQUIDADO","",Tabela4[[#This Row],[VCTO]]-$I$5)</f>
        <v/>
      </c>
      <c r="O168" s="218" t="s">
        <v>86</v>
      </c>
      <c r="P168" s="219"/>
      <c r="Q168" s="218"/>
      <c r="R168" s="218"/>
      <c r="S168" s="218"/>
      <c r="T168" s="218"/>
      <c r="U168" s="218"/>
      <c r="V168" s="5"/>
    </row>
    <row r="169" spans="1:22">
      <c r="A169" s="5" t="s">
        <v>108</v>
      </c>
      <c r="B169" s="6">
        <v>46003</v>
      </c>
      <c r="C169" s="6" t="s">
        <v>41</v>
      </c>
      <c r="D169" s="218">
        <v>692</v>
      </c>
      <c r="E169" s="10" t="s">
        <v>92</v>
      </c>
      <c r="F169" s="5" t="s">
        <v>470</v>
      </c>
      <c r="G169" s="215">
        <v>38486966000153</v>
      </c>
      <c r="H169" s="38">
        <v>18500</v>
      </c>
      <c r="I169" s="7">
        <v>46053</v>
      </c>
      <c r="J169" s="221" t="s">
        <v>91</v>
      </c>
      <c r="K169" s="218" t="s">
        <v>75</v>
      </c>
      <c r="L169" s="219">
        <v>46026</v>
      </c>
      <c r="M169" s="218" t="str">
        <f>IF(Tabela4[[#This Row],[RECOMPRADO]]="RECEBIDO","LIQUIDADO",IF(O169="LIQUIDADO","LIQUIDADO",IF(I169&lt;$I$5,"VENCIDO","A VENCER")))</f>
        <v>LIQUIDADO</v>
      </c>
      <c r="N169" s="222" t="str">
        <f>IF(Tabela4[[#This Row],[STATUS]]="LIQUIDADO","",Tabela4[[#This Row],[VCTO]]-$I$5)</f>
        <v/>
      </c>
      <c r="O169" s="218" t="s">
        <v>86</v>
      </c>
      <c r="P169" s="219"/>
      <c r="Q169" s="218"/>
      <c r="R169" s="218"/>
      <c r="S169" s="218"/>
      <c r="T169" s="218"/>
      <c r="U169" s="218"/>
      <c r="V169" s="5"/>
    </row>
    <row r="170" spans="1:22">
      <c r="A170" s="5" t="s">
        <v>108</v>
      </c>
      <c r="B170" s="6">
        <v>46003</v>
      </c>
      <c r="C170" s="6" t="s">
        <v>41</v>
      </c>
      <c r="D170" s="218">
        <v>692</v>
      </c>
      <c r="E170" s="10" t="s">
        <v>95</v>
      </c>
      <c r="F170" s="5" t="s">
        <v>470</v>
      </c>
      <c r="G170" s="215">
        <v>38486966000153</v>
      </c>
      <c r="H170" s="38">
        <v>18500</v>
      </c>
      <c r="I170" s="7">
        <v>46083</v>
      </c>
      <c r="J170" s="221" t="s">
        <v>91</v>
      </c>
      <c r="K170" s="218" t="s">
        <v>75</v>
      </c>
      <c r="L170" s="219">
        <v>46026</v>
      </c>
      <c r="M170" s="218" t="str">
        <f ca="1">IF(Tabela4[[#This Row],[RECOMPRADO]]="RECEBIDO","LIQUIDADO",IF(O170="LIQUIDADO","LIQUIDADO",IF(I170&lt;$I$5,"VENCIDO","A VENCER")))</f>
        <v>VENCIDO</v>
      </c>
      <c r="N170" s="222">
        <f ca="1">IF(Tabela4[[#This Row],[STATUS]]="LIQUIDADO","",Tabela4[[#This Row],[VCTO]]-$I$5)</f>
        <v>-15</v>
      </c>
      <c r="O170" s="218"/>
      <c r="P170" s="219"/>
      <c r="Q170" s="218"/>
      <c r="R170" s="218"/>
      <c r="S170" s="218" t="s">
        <v>151</v>
      </c>
      <c r="T170" s="5" t="s">
        <v>634</v>
      </c>
      <c r="U170" s="5"/>
      <c r="V170" s="5"/>
    </row>
    <row r="171" spans="1:22">
      <c r="A171" s="5" t="s">
        <v>0</v>
      </c>
      <c r="B171" s="6">
        <v>46007</v>
      </c>
      <c r="C171" s="6" t="s">
        <v>43</v>
      </c>
      <c r="D171" s="5" t="s">
        <v>321</v>
      </c>
      <c r="E171" s="10" t="s">
        <v>95</v>
      </c>
      <c r="F171" s="5" t="s">
        <v>339</v>
      </c>
      <c r="G171" s="225" t="s">
        <v>359</v>
      </c>
      <c r="H171" s="38">
        <v>602.53</v>
      </c>
      <c r="I171" s="7">
        <v>46042</v>
      </c>
      <c r="J171" s="7" t="s">
        <v>91</v>
      </c>
      <c r="K171" s="218" t="s">
        <v>77</v>
      </c>
      <c r="L171" s="219">
        <v>46025</v>
      </c>
      <c r="M171" s="218" t="str">
        <f>IF(Tabela4[[#This Row],[RECOMPRADO]]="RECEBIDO","LIQUIDADO",IF(O171="LIQUIDADO","LIQUIDADO",IF(I171&lt;$I$5,"VENCIDO","A VENCER")))</f>
        <v>LIQUIDADO</v>
      </c>
      <c r="N171" s="222" t="str">
        <f>IF(Tabela4[[#This Row],[STATUS]]="LIQUIDADO","",Tabela4[[#This Row],[VCTO]]-$I$5)</f>
        <v/>
      </c>
      <c r="O171" s="218" t="s">
        <v>86</v>
      </c>
      <c r="P171" s="219"/>
      <c r="Q171" s="218"/>
      <c r="R171" s="218"/>
      <c r="S171" s="218"/>
      <c r="T171" s="218"/>
      <c r="U171" s="218"/>
      <c r="V171" s="5"/>
    </row>
    <row r="172" spans="1:22">
      <c r="A172" s="5" t="s">
        <v>0</v>
      </c>
      <c r="B172" s="6">
        <v>46007</v>
      </c>
      <c r="C172" s="6" t="s">
        <v>43</v>
      </c>
      <c r="D172" s="5" t="s">
        <v>321</v>
      </c>
      <c r="E172" s="10" t="s">
        <v>96</v>
      </c>
      <c r="F172" s="5" t="s">
        <v>339</v>
      </c>
      <c r="G172" s="225" t="s">
        <v>359</v>
      </c>
      <c r="H172" s="38">
        <v>602.53</v>
      </c>
      <c r="I172" s="7">
        <v>46049</v>
      </c>
      <c r="J172" s="7" t="s">
        <v>91</v>
      </c>
      <c r="K172" s="218" t="s">
        <v>77</v>
      </c>
      <c r="L172" s="219">
        <v>46025</v>
      </c>
      <c r="M172" s="218" t="str">
        <f>IF(Tabela4[[#This Row],[RECOMPRADO]]="RECEBIDO","LIQUIDADO",IF(O172="LIQUIDADO","LIQUIDADO",IF(I172&lt;$I$5,"VENCIDO","A VENCER")))</f>
        <v>LIQUIDADO</v>
      </c>
      <c r="N172" s="222" t="str">
        <f>IF(Tabela4[[#This Row],[STATUS]]="LIQUIDADO","",Tabela4[[#This Row],[VCTO]]-$I$5)</f>
        <v/>
      </c>
      <c r="O172" s="218" t="s">
        <v>86</v>
      </c>
      <c r="P172" s="219"/>
      <c r="Q172" s="218"/>
      <c r="R172" s="218"/>
      <c r="S172" s="218"/>
      <c r="T172" s="218"/>
      <c r="U172" s="218"/>
      <c r="V172" s="5"/>
    </row>
    <row r="173" spans="1:22">
      <c r="A173" s="5" t="s">
        <v>7</v>
      </c>
      <c r="B173" s="6">
        <v>46007</v>
      </c>
      <c r="C173" s="6" t="s">
        <v>41</v>
      </c>
      <c r="D173" s="5" t="s">
        <v>322</v>
      </c>
      <c r="E173" s="10" t="s">
        <v>95</v>
      </c>
      <c r="F173" s="5" t="s">
        <v>340</v>
      </c>
      <c r="G173" s="225" t="s">
        <v>375</v>
      </c>
      <c r="H173" s="38">
        <v>2218</v>
      </c>
      <c r="I173" s="7">
        <v>46042</v>
      </c>
      <c r="J173" s="7" t="s">
        <v>91</v>
      </c>
      <c r="K173" s="218" t="s">
        <v>77</v>
      </c>
      <c r="L173" s="219">
        <v>46025</v>
      </c>
      <c r="M173" s="218" t="str">
        <f>IF(Tabela4[[#This Row],[RECOMPRADO]]="RECEBIDO","LIQUIDADO",IF(O173="LIQUIDADO","LIQUIDADO",IF(I173&lt;$I$5,"VENCIDO","A VENCER")))</f>
        <v>LIQUIDADO</v>
      </c>
      <c r="N173" s="222" t="str">
        <f>IF(Tabela4[[#This Row],[STATUS]]="LIQUIDADO","",Tabela4[[#This Row],[VCTO]]-$I$5)</f>
        <v/>
      </c>
      <c r="O173" s="218" t="s">
        <v>86</v>
      </c>
      <c r="P173" s="219"/>
      <c r="Q173" s="218"/>
      <c r="R173" s="218"/>
      <c r="S173" s="218"/>
      <c r="T173" s="218"/>
      <c r="U173" s="218"/>
      <c r="V173" s="5"/>
    </row>
    <row r="174" spans="1:22">
      <c r="A174" s="5" t="s">
        <v>7</v>
      </c>
      <c r="B174" s="6">
        <v>46007</v>
      </c>
      <c r="C174" s="6" t="s">
        <v>41</v>
      </c>
      <c r="D174" s="5" t="s">
        <v>322</v>
      </c>
      <c r="E174" s="10" t="s">
        <v>96</v>
      </c>
      <c r="F174" s="5" t="s">
        <v>340</v>
      </c>
      <c r="G174" s="225" t="s">
        <v>375</v>
      </c>
      <c r="H174" s="38">
        <v>2218</v>
      </c>
      <c r="I174" s="7">
        <v>46049</v>
      </c>
      <c r="J174" s="7" t="s">
        <v>91</v>
      </c>
      <c r="K174" s="218" t="s">
        <v>77</v>
      </c>
      <c r="L174" s="219">
        <v>46025</v>
      </c>
      <c r="M174" s="218" t="str">
        <f>IF(Tabela4[[#This Row],[RECOMPRADO]]="RECEBIDO","LIQUIDADO",IF(O174="LIQUIDADO","LIQUIDADO",IF(I174&lt;$I$5,"VENCIDO","A VENCER")))</f>
        <v>LIQUIDADO</v>
      </c>
      <c r="N174" s="222" t="str">
        <f>IF(Tabela4[[#This Row],[STATUS]]="LIQUIDADO","",Tabela4[[#This Row],[VCTO]]-$I$5)</f>
        <v/>
      </c>
      <c r="O174" s="218" t="s">
        <v>86</v>
      </c>
      <c r="P174" s="219"/>
      <c r="Q174" s="218"/>
      <c r="R174" s="218"/>
      <c r="S174" s="218"/>
      <c r="T174" s="218"/>
      <c r="U174" s="218"/>
      <c r="V174" s="5"/>
    </row>
    <row r="175" spans="1:22">
      <c r="A175" s="5" t="s">
        <v>7</v>
      </c>
      <c r="B175" s="6">
        <v>46007</v>
      </c>
      <c r="C175" s="6" t="s">
        <v>41</v>
      </c>
      <c r="D175" s="5" t="s">
        <v>323</v>
      </c>
      <c r="E175" s="10" t="s">
        <v>95</v>
      </c>
      <c r="F175" s="5" t="s">
        <v>341</v>
      </c>
      <c r="G175" s="225" t="s">
        <v>376</v>
      </c>
      <c r="H175" s="38">
        <v>2327.5</v>
      </c>
      <c r="I175" s="7">
        <v>46043</v>
      </c>
      <c r="J175" s="7" t="s">
        <v>91</v>
      </c>
      <c r="K175" s="218" t="s">
        <v>77</v>
      </c>
      <c r="L175" s="219">
        <v>46025</v>
      </c>
      <c r="M175" s="218" t="str">
        <f>IF(Tabela4[[#This Row],[RECOMPRADO]]="RECEBIDO","LIQUIDADO",IF(O175="LIQUIDADO","LIQUIDADO",IF(I175&lt;$I$5,"VENCIDO","A VENCER")))</f>
        <v>LIQUIDADO</v>
      </c>
      <c r="N175" s="222" t="str">
        <f>IF(Tabela4[[#This Row],[STATUS]]="LIQUIDADO","",Tabela4[[#This Row],[VCTO]]-$I$5)</f>
        <v/>
      </c>
      <c r="O175" s="218" t="s">
        <v>86</v>
      </c>
      <c r="P175" s="219"/>
      <c r="Q175" s="218"/>
      <c r="R175" s="218"/>
      <c r="S175" s="218"/>
      <c r="T175" s="218"/>
      <c r="U175" s="218"/>
      <c r="V175" s="5"/>
    </row>
    <row r="176" spans="1:22">
      <c r="A176" s="5" t="s">
        <v>7</v>
      </c>
      <c r="B176" s="6">
        <v>46007</v>
      </c>
      <c r="C176" s="6" t="s">
        <v>41</v>
      </c>
      <c r="D176" s="5" t="s">
        <v>323</v>
      </c>
      <c r="E176" s="10" t="s">
        <v>96</v>
      </c>
      <c r="F176" s="5" t="s">
        <v>341</v>
      </c>
      <c r="G176" s="225" t="s">
        <v>376</v>
      </c>
      <c r="H176" s="38">
        <v>2327.5</v>
      </c>
      <c r="I176" s="7">
        <v>46050</v>
      </c>
      <c r="J176" s="7" t="s">
        <v>91</v>
      </c>
      <c r="K176" s="218" t="s">
        <v>77</v>
      </c>
      <c r="L176" s="219">
        <v>46025</v>
      </c>
      <c r="M176" s="218" t="str">
        <f>IF(Tabela4[[#This Row],[RECOMPRADO]]="RECEBIDO","LIQUIDADO",IF(O176="LIQUIDADO","LIQUIDADO",IF(I176&lt;$I$5,"VENCIDO","A VENCER")))</f>
        <v>LIQUIDADO</v>
      </c>
      <c r="N176" s="222" t="str">
        <f>IF(Tabela4[[#This Row],[STATUS]]="LIQUIDADO","",Tabela4[[#This Row],[VCTO]]-$I$5)</f>
        <v/>
      </c>
      <c r="O176" s="218" t="s">
        <v>86</v>
      </c>
      <c r="P176" s="219"/>
      <c r="Q176" s="218"/>
      <c r="R176" s="218"/>
      <c r="S176" s="218"/>
      <c r="T176" s="218"/>
      <c r="U176" s="218"/>
      <c r="V176" s="5"/>
    </row>
    <row r="177" spans="1:22">
      <c r="A177" s="5" t="s">
        <v>0</v>
      </c>
      <c r="B177" s="6">
        <v>46007</v>
      </c>
      <c r="C177" s="6" t="s">
        <v>43</v>
      </c>
      <c r="D177" s="5" t="s">
        <v>321</v>
      </c>
      <c r="E177" s="10" t="s">
        <v>92</v>
      </c>
      <c r="F177" s="5" t="s">
        <v>339</v>
      </c>
      <c r="G177" s="225" t="s">
        <v>359</v>
      </c>
      <c r="H177" s="38">
        <v>602.53</v>
      </c>
      <c r="I177" s="7">
        <v>46035</v>
      </c>
      <c r="J177" s="7" t="s">
        <v>91</v>
      </c>
      <c r="K177" s="218" t="s">
        <v>77</v>
      </c>
      <c r="L177" s="219">
        <v>46025</v>
      </c>
      <c r="M177" s="218" t="str">
        <f>IF(Tabela4[[#This Row],[RECOMPRADO]]="RECEBIDO","LIQUIDADO",IF(O177="LIQUIDADO","LIQUIDADO",IF(I177&lt;$I$5,"VENCIDO","A VENCER")))</f>
        <v>LIQUIDADO</v>
      </c>
      <c r="N177" s="222" t="str">
        <f>IF(Tabela4[[#This Row],[STATUS]]="LIQUIDADO","",Tabela4[[#This Row],[VCTO]]-$I$5)</f>
        <v/>
      </c>
      <c r="O177" s="218" t="s">
        <v>86</v>
      </c>
      <c r="P177" s="219"/>
      <c r="Q177" s="218"/>
      <c r="R177" s="218"/>
      <c r="S177" s="218"/>
      <c r="T177" s="218"/>
      <c r="U177" s="218"/>
      <c r="V177" s="5"/>
    </row>
    <row r="178" spans="1:22">
      <c r="A178" s="5" t="s">
        <v>7</v>
      </c>
      <c r="B178" s="6">
        <v>46007</v>
      </c>
      <c r="C178" s="6" t="s">
        <v>41</v>
      </c>
      <c r="D178" s="5" t="s">
        <v>322</v>
      </c>
      <c r="E178" s="10" t="s">
        <v>92</v>
      </c>
      <c r="F178" s="5" t="s">
        <v>340</v>
      </c>
      <c r="G178" s="225" t="s">
        <v>375</v>
      </c>
      <c r="H178" s="38">
        <v>2218</v>
      </c>
      <c r="I178" s="7">
        <v>46035</v>
      </c>
      <c r="J178" s="7" t="s">
        <v>91</v>
      </c>
      <c r="K178" s="218" t="s">
        <v>77</v>
      </c>
      <c r="L178" s="219">
        <v>46025</v>
      </c>
      <c r="M178" s="218" t="str">
        <f>IF(Tabela4[[#This Row],[RECOMPRADO]]="RECEBIDO","LIQUIDADO",IF(O178="LIQUIDADO","LIQUIDADO",IF(I178&lt;$I$5,"VENCIDO","A VENCER")))</f>
        <v>LIQUIDADO</v>
      </c>
      <c r="N178" s="222" t="str">
        <f>IF(Tabela4[[#This Row],[STATUS]]="LIQUIDADO","",Tabela4[[#This Row],[VCTO]]-$I$5)</f>
        <v/>
      </c>
      <c r="O178" s="218" t="s">
        <v>86</v>
      </c>
      <c r="P178" s="219"/>
      <c r="Q178" s="218"/>
      <c r="R178" s="218"/>
      <c r="S178" s="218"/>
      <c r="T178" s="218"/>
      <c r="U178" s="218"/>
      <c r="V178" s="5"/>
    </row>
    <row r="179" spans="1:22">
      <c r="A179" s="5" t="s">
        <v>0</v>
      </c>
      <c r="B179" s="6">
        <v>46007</v>
      </c>
      <c r="C179" s="6" t="s">
        <v>43</v>
      </c>
      <c r="D179" s="5" t="s">
        <v>324</v>
      </c>
      <c r="E179" s="10" t="s">
        <v>92</v>
      </c>
      <c r="F179" s="5" t="s">
        <v>301</v>
      </c>
      <c r="G179" s="225" t="s">
        <v>360</v>
      </c>
      <c r="H179" s="38">
        <v>4348.67</v>
      </c>
      <c r="I179" s="7">
        <v>46040</v>
      </c>
      <c r="J179" s="7" t="s">
        <v>91</v>
      </c>
      <c r="K179" s="218" t="s">
        <v>77</v>
      </c>
      <c r="L179" s="219">
        <v>46025</v>
      </c>
      <c r="M179" s="218" t="str">
        <f>IF(Tabela4[[#This Row],[RECOMPRADO]]="RECEBIDO","LIQUIDADO",IF(O179="LIQUIDADO","LIQUIDADO",IF(I179&lt;$I$5,"VENCIDO","A VENCER")))</f>
        <v>LIQUIDADO</v>
      </c>
      <c r="N179" s="222" t="str">
        <f>IF(Tabela4[[#This Row],[STATUS]]="LIQUIDADO","",Tabela4[[#This Row],[VCTO]]-$I$5)</f>
        <v/>
      </c>
      <c r="O179" s="218" t="s">
        <v>86</v>
      </c>
      <c r="P179" s="219"/>
      <c r="Q179" s="218"/>
      <c r="R179" s="218"/>
      <c r="S179" s="218"/>
      <c r="T179" s="218"/>
      <c r="U179" s="218"/>
      <c r="V179" s="5"/>
    </row>
    <row r="180" spans="1:22">
      <c r="A180" s="5" t="s">
        <v>7</v>
      </c>
      <c r="B180" s="6">
        <v>46007</v>
      </c>
      <c r="C180" s="6" t="s">
        <v>41</v>
      </c>
      <c r="D180" s="5" t="s">
        <v>325</v>
      </c>
      <c r="E180" s="10" t="s">
        <v>92</v>
      </c>
      <c r="F180" s="5" t="s">
        <v>342</v>
      </c>
      <c r="G180" s="225" t="s">
        <v>377</v>
      </c>
      <c r="H180" s="38">
        <v>2407.5</v>
      </c>
      <c r="I180" s="7">
        <v>46037</v>
      </c>
      <c r="J180" s="7" t="s">
        <v>91</v>
      </c>
      <c r="K180" s="218" t="s">
        <v>77</v>
      </c>
      <c r="L180" s="219">
        <v>46025</v>
      </c>
      <c r="M180" s="218" t="str">
        <f>IF(Tabela4[[#This Row],[RECOMPRADO]]="RECEBIDO","LIQUIDADO",IF(O180="LIQUIDADO","LIQUIDADO",IF(I180&lt;$I$5,"VENCIDO","A VENCER")))</f>
        <v>LIQUIDADO</v>
      </c>
      <c r="N180" s="222" t="str">
        <f>IF(Tabela4[[#This Row],[STATUS]]="LIQUIDADO","",Tabela4[[#This Row],[VCTO]]-$I$5)</f>
        <v/>
      </c>
      <c r="O180" s="218" t="s">
        <v>86</v>
      </c>
      <c r="P180" s="219"/>
      <c r="Q180" s="218"/>
      <c r="R180" s="218"/>
      <c r="S180" s="218"/>
      <c r="T180" s="218"/>
      <c r="U180" s="218"/>
      <c r="V180" s="5"/>
    </row>
    <row r="181" spans="1:22">
      <c r="A181" s="5" t="s">
        <v>7</v>
      </c>
      <c r="B181" s="6">
        <v>46007</v>
      </c>
      <c r="C181" s="6" t="s">
        <v>41</v>
      </c>
      <c r="D181" s="5" t="s">
        <v>323</v>
      </c>
      <c r="E181" s="10" t="s">
        <v>92</v>
      </c>
      <c r="F181" s="5" t="s">
        <v>341</v>
      </c>
      <c r="G181" s="225" t="s">
        <v>376</v>
      </c>
      <c r="H181" s="38">
        <v>3031.34</v>
      </c>
      <c r="I181" s="7">
        <v>46036</v>
      </c>
      <c r="J181" s="7" t="s">
        <v>91</v>
      </c>
      <c r="K181" s="218" t="s">
        <v>77</v>
      </c>
      <c r="L181" s="219">
        <v>46025</v>
      </c>
      <c r="M181" s="218" t="str">
        <f>IF(Tabela4[[#This Row],[RECOMPRADO]]="RECEBIDO","LIQUIDADO",IF(O181="LIQUIDADO","LIQUIDADO",IF(I181&lt;$I$5,"VENCIDO","A VENCER")))</f>
        <v>LIQUIDADO</v>
      </c>
      <c r="N181" s="222" t="str">
        <f>IF(Tabela4[[#This Row],[STATUS]]="LIQUIDADO","",Tabela4[[#This Row],[VCTO]]-$I$5)</f>
        <v/>
      </c>
      <c r="O181" s="218" t="s">
        <v>86</v>
      </c>
      <c r="P181" s="219"/>
      <c r="Q181" s="218"/>
      <c r="R181" s="218"/>
      <c r="S181" s="218"/>
      <c r="T181" s="218"/>
      <c r="U181" s="218"/>
      <c r="V181" s="5"/>
    </row>
    <row r="182" spans="1:22">
      <c r="A182" s="5" t="s">
        <v>0</v>
      </c>
      <c r="B182" s="6">
        <v>46007</v>
      </c>
      <c r="C182" s="219" t="s">
        <v>41</v>
      </c>
      <c r="D182" s="5" t="s">
        <v>352</v>
      </c>
      <c r="E182" s="10" t="s">
        <v>95</v>
      </c>
      <c r="F182" s="5" t="s">
        <v>354</v>
      </c>
      <c r="G182" s="225" t="s">
        <v>361</v>
      </c>
      <c r="H182" s="38">
        <v>7582</v>
      </c>
      <c r="I182" s="7">
        <v>46045</v>
      </c>
      <c r="J182" s="221" t="s">
        <v>91</v>
      </c>
      <c r="K182" s="218" t="s">
        <v>81</v>
      </c>
      <c r="L182" s="219">
        <v>46027</v>
      </c>
      <c r="M182" s="218" t="str">
        <f>IF(Tabela4[[#This Row],[RECOMPRADO]]="RECEBIDO","LIQUIDADO",IF(O182="LIQUIDADO","LIQUIDADO",IF(I182&lt;$I$5,"VENCIDO","A VENCER")))</f>
        <v>LIQUIDADO</v>
      </c>
      <c r="N182" s="222" t="str">
        <f>IF(Tabela4[[#This Row],[STATUS]]="LIQUIDADO","",Tabela4[[#This Row],[VCTO]]-$I$5)</f>
        <v/>
      </c>
      <c r="O182" s="218" t="s">
        <v>86</v>
      </c>
      <c r="P182" s="219"/>
      <c r="Q182" s="218"/>
      <c r="R182" s="218"/>
      <c r="S182" s="218"/>
      <c r="T182" s="218"/>
      <c r="U182" s="218"/>
      <c r="V182" s="5"/>
    </row>
    <row r="183" spans="1:22">
      <c r="A183" s="5" t="s">
        <v>0</v>
      </c>
      <c r="B183" s="6">
        <v>46007</v>
      </c>
      <c r="C183" s="219" t="s">
        <v>41</v>
      </c>
      <c r="D183" s="5" t="s">
        <v>321</v>
      </c>
      <c r="E183" s="10" t="s">
        <v>95</v>
      </c>
      <c r="F183" s="5" t="s">
        <v>339</v>
      </c>
      <c r="G183" s="225" t="s">
        <v>359</v>
      </c>
      <c r="H183" s="38">
        <v>602.53</v>
      </c>
      <c r="I183" s="7">
        <v>46042</v>
      </c>
      <c r="J183" s="221" t="s">
        <v>91</v>
      </c>
      <c r="K183" s="218" t="s">
        <v>81</v>
      </c>
      <c r="L183" s="219">
        <v>46027</v>
      </c>
      <c r="M183" s="218" t="str">
        <f>IF(Tabela4[[#This Row],[RECOMPRADO]]="RECEBIDO","LIQUIDADO",IF(O183="LIQUIDADO","LIQUIDADO",IF(I183&lt;$I$5,"VENCIDO","A VENCER")))</f>
        <v>LIQUIDADO</v>
      </c>
      <c r="N183" s="222" t="str">
        <f>IF(Tabela4[[#This Row],[STATUS]]="LIQUIDADO","",Tabela4[[#This Row],[VCTO]]-$I$5)</f>
        <v/>
      </c>
      <c r="O183" s="218" t="s">
        <v>86</v>
      </c>
      <c r="P183" s="219"/>
      <c r="Q183" s="218"/>
      <c r="R183" s="218"/>
      <c r="S183" s="218"/>
      <c r="T183" s="218"/>
      <c r="U183" s="218"/>
      <c r="V183" s="5"/>
    </row>
    <row r="184" spans="1:22">
      <c r="A184" s="5" t="s">
        <v>0</v>
      </c>
      <c r="B184" s="6">
        <v>46007</v>
      </c>
      <c r="C184" s="219" t="s">
        <v>41</v>
      </c>
      <c r="D184" s="5" t="s">
        <v>321</v>
      </c>
      <c r="E184" s="10" t="s">
        <v>96</v>
      </c>
      <c r="F184" s="5" t="s">
        <v>339</v>
      </c>
      <c r="G184" s="225" t="s">
        <v>359</v>
      </c>
      <c r="H184" s="38">
        <v>602.53</v>
      </c>
      <c r="I184" s="7">
        <v>46049</v>
      </c>
      <c r="J184" s="221" t="s">
        <v>91</v>
      </c>
      <c r="K184" s="218" t="s">
        <v>81</v>
      </c>
      <c r="L184" s="219">
        <v>46027</v>
      </c>
      <c r="M184" s="218" t="str">
        <f>IF(Tabela4[[#This Row],[RECOMPRADO]]="RECEBIDO","LIQUIDADO",IF(O184="LIQUIDADO","LIQUIDADO",IF(I184&lt;$I$5,"VENCIDO","A VENCER")))</f>
        <v>LIQUIDADO</v>
      </c>
      <c r="N184" s="222" t="str">
        <f>IF(Tabela4[[#This Row],[STATUS]]="LIQUIDADO","",Tabela4[[#This Row],[VCTO]]-$I$5)</f>
        <v/>
      </c>
      <c r="O184" s="218" t="s">
        <v>86</v>
      </c>
      <c r="P184" s="219"/>
      <c r="Q184" s="218"/>
      <c r="R184" s="218"/>
      <c r="S184" s="218"/>
      <c r="T184" s="218"/>
      <c r="U184" s="218"/>
      <c r="V184" s="5"/>
    </row>
    <row r="185" spans="1:22">
      <c r="A185" s="5" t="s">
        <v>108</v>
      </c>
      <c r="B185" s="6">
        <v>46007</v>
      </c>
      <c r="C185" s="219" t="s">
        <v>41</v>
      </c>
      <c r="D185" s="5" t="s">
        <v>353</v>
      </c>
      <c r="E185" s="10" t="s">
        <v>92</v>
      </c>
      <c r="F185" s="5" t="s">
        <v>355</v>
      </c>
      <c r="G185" s="225" t="s">
        <v>370</v>
      </c>
      <c r="H185" s="38">
        <v>48900</v>
      </c>
      <c r="I185" s="7">
        <v>46044</v>
      </c>
      <c r="J185" s="221" t="s">
        <v>91</v>
      </c>
      <c r="K185" s="218" t="s">
        <v>81</v>
      </c>
      <c r="L185" s="219">
        <v>46027</v>
      </c>
      <c r="M185" s="218" t="str">
        <f>IF(Tabela4[[#This Row],[RECOMPRADO]]="RECEBIDO","LIQUIDADO",IF(O185="LIQUIDADO","LIQUIDADO",IF(I185&lt;$I$5,"VENCIDO","A VENCER")))</f>
        <v>LIQUIDADO</v>
      </c>
      <c r="N185" s="222" t="str">
        <f>IF(Tabela4[[#This Row],[STATUS]]="LIQUIDADO","",Tabela4[[#This Row],[VCTO]]-$I$5)</f>
        <v/>
      </c>
      <c r="O185" s="218" t="s">
        <v>86</v>
      </c>
      <c r="P185" s="219"/>
      <c r="Q185" s="218"/>
      <c r="R185" s="218"/>
      <c r="S185" s="218"/>
      <c r="T185" s="218" t="s">
        <v>349</v>
      </c>
      <c r="U185" s="218"/>
      <c r="V185" s="5" t="s">
        <v>635</v>
      </c>
    </row>
    <row r="186" spans="1:22">
      <c r="A186" s="5" t="s">
        <v>0</v>
      </c>
      <c r="B186" s="6">
        <v>46007</v>
      </c>
      <c r="C186" s="219" t="s">
        <v>41</v>
      </c>
      <c r="D186" s="5" t="s">
        <v>321</v>
      </c>
      <c r="E186" s="10" t="s">
        <v>92</v>
      </c>
      <c r="F186" s="5" t="s">
        <v>339</v>
      </c>
      <c r="G186" s="225" t="s">
        <v>359</v>
      </c>
      <c r="H186" s="38">
        <v>739.19</v>
      </c>
      <c r="I186" s="7">
        <v>46035</v>
      </c>
      <c r="J186" s="221" t="s">
        <v>91</v>
      </c>
      <c r="K186" s="218" t="s">
        <v>81</v>
      </c>
      <c r="L186" s="219">
        <v>46027</v>
      </c>
      <c r="M186" s="218" t="str">
        <f>IF(Tabela4[[#This Row],[RECOMPRADO]]="RECEBIDO","LIQUIDADO",IF(O186="LIQUIDADO","LIQUIDADO",IF(I186&lt;$I$5,"VENCIDO","A VENCER")))</f>
        <v>LIQUIDADO</v>
      </c>
      <c r="N186" s="222" t="str">
        <f>IF(Tabela4[[#This Row],[STATUS]]="LIQUIDADO","",Tabela4[[#This Row],[VCTO]]-$I$5)</f>
        <v/>
      </c>
      <c r="O186" s="218" t="s">
        <v>86</v>
      </c>
      <c r="P186" s="219"/>
      <c r="Q186" s="218"/>
      <c r="R186" s="218"/>
      <c r="S186" s="218"/>
      <c r="T186" s="218"/>
      <c r="U186" s="218"/>
      <c r="V186" s="5"/>
    </row>
    <row r="187" spans="1:22">
      <c r="A187" s="5" t="s">
        <v>0</v>
      </c>
      <c r="B187" s="6">
        <v>46007</v>
      </c>
      <c r="C187" s="219" t="s">
        <v>41</v>
      </c>
      <c r="D187" s="5" t="s">
        <v>324</v>
      </c>
      <c r="E187" s="10" t="s">
        <v>92</v>
      </c>
      <c r="F187" s="5" t="s">
        <v>301</v>
      </c>
      <c r="G187" s="225" t="s">
        <v>360</v>
      </c>
      <c r="H187" s="38">
        <v>4348.67</v>
      </c>
      <c r="I187" s="7">
        <v>46040</v>
      </c>
      <c r="J187" s="221" t="s">
        <v>91</v>
      </c>
      <c r="K187" s="218" t="s">
        <v>81</v>
      </c>
      <c r="L187" s="219">
        <v>46027</v>
      </c>
      <c r="M187" s="218" t="str">
        <f>IF(Tabela4[[#This Row],[RECOMPRADO]]="RECEBIDO","LIQUIDADO",IF(O187="LIQUIDADO","LIQUIDADO",IF(I187&lt;$I$5,"VENCIDO","A VENCER")))</f>
        <v>LIQUIDADO</v>
      </c>
      <c r="N187" s="222" t="str">
        <f>IF(Tabela4[[#This Row],[STATUS]]="LIQUIDADO","",Tabela4[[#This Row],[VCTO]]-$I$5)</f>
        <v/>
      </c>
      <c r="O187" s="218" t="s">
        <v>86</v>
      </c>
      <c r="P187" s="219"/>
      <c r="Q187" s="218"/>
      <c r="R187" s="218"/>
      <c r="S187" s="218"/>
      <c r="T187" s="218"/>
      <c r="U187" s="218"/>
      <c r="V187" s="5"/>
    </row>
    <row r="188" spans="1:22">
      <c r="A188" s="5" t="s">
        <v>0</v>
      </c>
      <c r="B188" s="6">
        <v>46007</v>
      </c>
      <c r="C188" s="219" t="s">
        <v>41</v>
      </c>
      <c r="D188" s="5" t="s">
        <v>352</v>
      </c>
      <c r="E188" s="10" t="s">
        <v>92</v>
      </c>
      <c r="F188" s="5" t="s">
        <v>354</v>
      </c>
      <c r="G188" s="225" t="s">
        <v>361</v>
      </c>
      <c r="H188" s="38">
        <v>7582</v>
      </c>
      <c r="I188" s="7">
        <v>46038</v>
      </c>
      <c r="J188" s="221" t="s">
        <v>91</v>
      </c>
      <c r="K188" s="218" t="s">
        <v>81</v>
      </c>
      <c r="L188" s="219">
        <v>46027</v>
      </c>
      <c r="M188" s="218" t="str">
        <f>IF(Tabela4[[#This Row],[RECOMPRADO]]="RECEBIDO","LIQUIDADO",IF(O188="LIQUIDADO","LIQUIDADO",IF(I188&lt;$I$5,"VENCIDO","A VENCER")))</f>
        <v>LIQUIDADO</v>
      </c>
      <c r="N188" s="226" t="str">
        <f>IF(Tabela4[[#This Row],[STATUS]]="LIQUIDADO","",Tabela4[[#This Row],[VCTO]]-$I$5)</f>
        <v/>
      </c>
      <c r="O188" s="218" t="s">
        <v>86</v>
      </c>
      <c r="P188" s="219"/>
      <c r="Q188" s="218"/>
      <c r="R188" s="218"/>
      <c r="S188" s="218"/>
      <c r="T188" s="218"/>
      <c r="U188" s="218"/>
      <c r="V188" s="5"/>
    </row>
    <row r="189" spans="1:22">
      <c r="A189" s="218" t="s">
        <v>7</v>
      </c>
      <c r="B189" s="219">
        <v>46007</v>
      </c>
      <c r="C189" s="6" t="s">
        <v>41</v>
      </c>
      <c r="D189" s="218" t="s">
        <v>325</v>
      </c>
      <c r="E189" s="10" t="s">
        <v>95</v>
      </c>
      <c r="F189" s="5" t="s">
        <v>342</v>
      </c>
      <c r="G189" s="225" t="s">
        <v>377</v>
      </c>
      <c r="H189" s="231">
        <v>2407.5</v>
      </c>
      <c r="I189" s="221">
        <v>46052</v>
      </c>
      <c r="J189" s="221" t="s">
        <v>91</v>
      </c>
      <c r="K189" s="218" t="s">
        <v>77</v>
      </c>
      <c r="L189" s="219">
        <v>46025</v>
      </c>
      <c r="M189" s="218" t="str">
        <f>IF(Tabela4[[#This Row],[RECOMPRADO]]="RECEBIDO","LIQUIDADO",IF(O189="LIQUIDADO","LIQUIDADO",IF(I189&lt;$I$5,"VENCIDO","A VENCER")))</f>
        <v>LIQUIDADO</v>
      </c>
      <c r="N189" s="222" t="str">
        <f>IF(Tabela4[[#This Row],[STATUS]]="LIQUIDADO","",Tabela4[[#This Row],[VCTO]]-$I$5)</f>
        <v/>
      </c>
      <c r="O189" s="218" t="s">
        <v>86</v>
      </c>
      <c r="P189" s="219"/>
      <c r="Q189" s="218"/>
      <c r="R189" s="218"/>
      <c r="S189" s="218"/>
      <c r="T189" s="5" t="s">
        <v>397</v>
      </c>
      <c r="U189" s="5"/>
      <c r="V189" s="5"/>
    </row>
    <row r="190" spans="1:22">
      <c r="A190" s="218" t="s">
        <v>7</v>
      </c>
      <c r="B190" s="219">
        <v>46007</v>
      </c>
      <c r="C190" s="6" t="s">
        <v>41</v>
      </c>
      <c r="D190" s="218" t="s">
        <v>325</v>
      </c>
      <c r="E190" s="10" t="s">
        <v>96</v>
      </c>
      <c r="F190" s="5" t="s">
        <v>342</v>
      </c>
      <c r="G190" s="225" t="s">
        <v>377</v>
      </c>
      <c r="H190" s="231">
        <v>2407.5</v>
      </c>
      <c r="I190" s="221">
        <v>46079</v>
      </c>
      <c r="J190" s="221" t="s">
        <v>91</v>
      </c>
      <c r="K190" s="218" t="s">
        <v>77</v>
      </c>
      <c r="L190" s="219">
        <v>46025</v>
      </c>
      <c r="M190" s="218" t="str">
        <f>IF(Tabela4[[#This Row],[RECOMPRADO]]="RECEBIDO","LIQUIDADO",IF(O190="LIQUIDADO","LIQUIDADO",IF(I190&lt;$I$5,"VENCIDO","A VENCER")))</f>
        <v>LIQUIDADO</v>
      </c>
      <c r="N190" s="222" t="str">
        <f>IF(Tabela4[[#This Row],[STATUS]]="LIQUIDADO","",Tabela4[[#This Row],[VCTO]]-$I$5)</f>
        <v/>
      </c>
      <c r="O190" s="218" t="s">
        <v>86</v>
      </c>
      <c r="P190" s="219"/>
      <c r="Q190" s="218"/>
      <c r="R190" s="218"/>
      <c r="S190" s="218" t="s">
        <v>151</v>
      </c>
      <c r="T190" s="5" t="s">
        <v>577</v>
      </c>
      <c r="U190" s="5"/>
      <c r="V190" s="5"/>
    </row>
    <row r="191" spans="1:22">
      <c r="A191" s="218" t="s">
        <v>7</v>
      </c>
      <c r="B191" s="219">
        <v>46007</v>
      </c>
      <c r="C191" s="6" t="s">
        <v>41</v>
      </c>
      <c r="D191" s="218" t="s">
        <v>325</v>
      </c>
      <c r="E191" s="10" t="s">
        <v>97</v>
      </c>
      <c r="F191" s="5" t="s">
        <v>342</v>
      </c>
      <c r="G191" s="225" t="s">
        <v>377</v>
      </c>
      <c r="H191" s="231">
        <v>2407.5</v>
      </c>
      <c r="I191" s="221">
        <v>46082</v>
      </c>
      <c r="J191" s="221" t="s">
        <v>91</v>
      </c>
      <c r="K191" s="218" t="s">
        <v>77</v>
      </c>
      <c r="L191" s="219">
        <v>46025</v>
      </c>
      <c r="M191" s="218" t="str">
        <f>IF(Tabela4[[#This Row],[RECOMPRADO]]="RECEBIDO","LIQUIDADO",IF(O191="LIQUIDADO","LIQUIDADO",IF(I191&lt;$I$5,"VENCIDO","A VENCER")))</f>
        <v>LIQUIDADO</v>
      </c>
      <c r="N191" s="211">
        <v>-9</v>
      </c>
      <c r="O191" s="218" t="s">
        <v>86</v>
      </c>
      <c r="P191" s="219"/>
      <c r="Q191" s="218"/>
      <c r="R191" s="218"/>
      <c r="S191" s="218" t="s">
        <v>151</v>
      </c>
      <c r="T191" s="5" t="s">
        <v>525</v>
      </c>
      <c r="U191" s="5"/>
      <c r="V191" s="5"/>
    </row>
    <row r="192" spans="1:22">
      <c r="A192" s="218" t="s">
        <v>0</v>
      </c>
      <c r="B192" s="219">
        <v>46007</v>
      </c>
      <c r="C192" s="6" t="s">
        <v>41</v>
      </c>
      <c r="D192" s="218">
        <v>245</v>
      </c>
      <c r="E192" s="10" t="s">
        <v>92</v>
      </c>
      <c r="F192" s="5" t="s">
        <v>301</v>
      </c>
      <c r="G192" s="225" t="s">
        <v>360</v>
      </c>
      <c r="H192" s="231">
        <v>1698.33</v>
      </c>
      <c r="I192" s="221">
        <v>46055</v>
      </c>
      <c r="J192" s="221" t="s">
        <v>91</v>
      </c>
      <c r="K192" s="218" t="s">
        <v>81</v>
      </c>
      <c r="L192" s="219">
        <v>46027</v>
      </c>
      <c r="M192" s="218" t="str">
        <f>IF(Tabela4[[#This Row],[RECOMPRADO]]="RECEBIDO","LIQUIDADO",IF(O192="LIQUIDADO","LIQUIDADO",IF(I192&lt;$I$5,"VENCIDO","A VENCER")))</f>
        <v>LIQUIDADO</v>
      </c>
      <c r="N192" s="222" t="str">
        <f>IF(Tabela4[[#This Row],[STATUS]]="LIQUIDADO","",Tabela4[[#This Row],[VCTO]]-$I$5)</f>
        <v/>
      </c>
      <c r="O192" s="218" t="s">
        <v>86</v>
      </c>
      <c r="P192" s="219"/>
      <c r="Q192" s="218"/>
      <c r="R192" s="218"/>
      <c r="S192" s="218"/>
      <c r="T192" s="218"/>
      <c r="U192" s="218"/>
      <c r="V192" s="5"/>
    </row>
    <row r="193" spans="1:22">
      <c r="A193" s="218" t="s">
        <v>0</v>
      </c>
      <c r="B193" s="219">
        <v>46007</v>
      </c>
      <c r="C193" s="6" t="s">
        <v>41</v>
      </c>
      <c r="D193" s="218">
        <v>245</v>
      </c>
      <c r="E193" s="10" t="s">
        <v>95</v>
      </c>
      <c r="F193" s="5" t="s">
        <v>301</v>
      </c>
      <c r="G193" s="225" t="s">
        <v>360</v>
      </c>
      <c r="H193" s="231">
        <v>1698.33</v>
      </c>
      <c r="I193" s="221">
        <v>46085</v>
      </c>
      <c r="J193" s="221" t="s">
        <v>91</v>
      </c>
      <c r="K193" s="218" t="s">
        <v>81</v>
      </c>
      <c r="L193" s="219">
        <v>46027</v>
      </c>
      <c r="M193" s="218" t="str">
        <f>IF(Tabela4[[#This Row],[RECOMPRADO]]="RECEBIDO","LIQUIDADO",IF(O193="LIQUIDADO","LIQUIDADO",IF(I193&lt;$I$5,"VENCIDO","A VENCER")))</f>
        <v>LIQUIDADO</v>
      </c>
      <c r="N193" s="222" t="str">
        <f>IF(Tabela4[[#This Row],[STATUS]]="LIQUIDADO","",Tabela4[[#This Row],[VCTO]]-$I$5)</f>
        <v/>
      </c>
      <c r="O193" s="218" t="s">
        <v>86</v>
      </c>
      <c r="P193" s="219"/>
      <c r="Q193" s="218"/>
      <c r="R193" s="218"/>
      <c r="S193" s="218"/>
      <c r="T193" s="218"/>
      <c r="U193" s="218"/>
      <c r="V193" s="5"/>
    </row>
    <row r="194" spans="1:22">
      <c r="A194" s="218" t="s">
        <v>0</v>
      </c>
      <c r="B194" s="219">
        <v>46007</v>
      </c>
      <c r="C194" s="6" t="s">
        <v>41</v>
      </c>
      <c r="D194" s="218">
        <v>245</v>
      </c>
      <c r="E194" s="10" t="s">
        <v>96</v>
      </c>
      <c r="F194" s="5" t="s">
        <v>301</v>
      </c>
      <c r="G194" s="225" t="s">
        <v>360</v>
      </c>
      <c r="H194" s="231">
        <v>1698.34</v>
      </c>
      <c r="I194" s="221">
        <v>46115</v>
      </c>
      <c r="J194" s="221" t="s">
        <v>91</v>
      </c>
      <c r="K194" s="218" t="s">
        <v>81</v>
      </c>
      <c r="L194" s="219">
        <v>46027</v>
      </c>
      <c r="M194" s="218" t="str">
        <f ca="1">IF(Tabela4[[#This Row],[RECOMPRADO]]="RECEBIDO","LIQUIDADO",IF(O194="LIQUIDADO","LIQUIDADO",IF(I194&lt;$I$5,"VENCIDO","A VENCER")))</f>
        <v>A VENCER</v>
      </c>
      <c r="N194" s="222">
        <f ca="1">IF(Tabela4[[#This Row],[STATUS]]="LIQUIDADO","",Tabela4[[#This Row],[VCTO]]-$I$5)</f>
        <v>17</v>
      </c>
      <c r="O194" s="218"/>
      <c r="P194" s="219"/>
      <c r="Q194" s="218"/>
      <c r="R194" s="218"/>
      <c r="S194" s="218"/>
      <c r="T194" s="218"/>
      <c r="U194" s="218"/>
      <c r="V194" s="5"/>
    </row>
    <row r="195" spans="1:22">
      <c r="A195" s="218" t="s">
        <v>0</v>
      </c>
      <c r="B195" s="219">
        <v>46007</v>
      </c>
      <c r="C195" s="6" t="s">
        <v>43</v>
      </c>
      <c r="D195" s="218">
        <v>50245</v>
      </c>
      <c r="E195" s="10" t="s">
        <v>92</v>
      </c>
      <c r="F195" s="5" t="s">
        <v>301</v>
      </c>
      <c r="G195" s="225" t="s">
        <v>360</v>
      </c>
      <c r="H195" s="231">
        <v>1698.33</v>
      </c>
      <c r="I195" s="221">
        <v>46055</v>
      </c>
      <c r="J195" s="221" t="s">
        <v>91</v>
      </c>
      <c r="K195" s="218" t="s">
        <v>77</v>
      </c>
      <c r="L195" s="219">
        <v>46025</v>
      </c>
      <c r="M195" s="218" t="str">
        <f>IF(Tabela4[[#This Row],[RECOMPRADO]]="RECEBIDO","LIQUIDADO",IF(O195="LIQUIDADO","LIQUIDADO",IF(I195&lt;$I$5,"VENCIDO","A VENCER")))</f>
        <v>LIQUIDADO</v>
      </c>
      <c r="N195" s="222" t="str">
        <f>IF(Tabela4[[#This Row],[STATUS]]="LIQUIDADO","",Tabela4[[#This Row],[VCTO]]-$I$5)</f>
        <v/>
      </c>
      <c r="O195" s="218" t="s">
        <v>86</v>
      </c>
      <c r="P195" s="219"/>
      <c r="Q195" s="218"/>
      <c r="R195" s="218"/>
      <c r="S195" s="218"/>
      <c r="T195" s="218"/>
      <c r="U195" s="218"/>
      <c r="V195" s="5"/>
    </row>
    <row r="196" spans="1:22">
      <c r="A196" s="218" t="s">
        <v>0</v>
      </c>
      <c r="B196" s="219">
        <v>46007</v>
      </c>
      <c r="C196" s="6" t="s">
        <v>43</v>
      </c>
      <c r="D196" s="218">
        <v>50245</v>
      </c>
      <c r="E196" s="10" t="s">
        <v>95</v>
      </c>
      <c r="F196" s="5" t="s">
        <v>301</v>
      </c>
      <c r="G196" s="225" t="s">
        <v>360</v>
      </c>
      <c r="H196" s="231">
        <v>1698.33</v>
      </c>
      <c r="I196" s="221">
        <v>46085</v>
      </c>
      <c r="J196" s="221" t="s">
        <v>91</v>
      </c>
      <c r="K196" s="218" t="s">
        <v>77</v>
      </c>
      <c r="L196" s="219">
        <v>46025</v>
      </c>
      <c r="M196" s="218" t="str">
        <f>IF(Tabela4[[#This Row],[RECOMPRADO]]="RECEBIDO","LIQUIDADO",IF(O196="LIQUIDADO","LIQUIDADO",IF(I196&lt;$I$5,"VENCIDO","A VENCER")))</f>
        <v>LIQUIDADO</v>
      </c>
      <c r="N196" s="222" t="str">
        <f>IF(Tabela4[[#This Row],[STATUS]]="LIQUIDADO","",Tabela4[[#This Row],[VCTO]]-$I$5)</f>
        <v/>
      </c>
      <c r="O196" s="218" t="s">
        <v>86</v>
      </c>
      <c r="P196" s="219"/>
      <c r="Q196" s="218"/>
      <c r="R196" s="218"/>
      <c r="S196" s="218"/>
      <c r="T196" s="218"/>
      <c r="U196" s="218"/>
      <c r="V196" s="5"/>
    </row>
    <row r="197" spans="1:22">
      <c r="A197" s="218" t="s">
        <v>0</v>
      </c>
      <c r="B197" s="219">
        <v>46007</v>
      </c>
      <c r="C197" s="6" t="s">
        <v>43</v>
      </c>
      <c r="D197" s="218">
        <v>50245</v>
      </c>
      <c r="E197" s="10" t="s">
        <v>96</v>
      </c>
      <c r="F197" s="5" t="s">
        <v>301</v>
      </c>
      <c r="G197" s="225" t="s">
        <v>360</v>
      </c>
      <c r="H197" s="231">
        <v>1698.34</v>
      </c>
      <c r="I197" s="221">
        <v>46115</v>
      </c>
      <c r="J197" s="221" t="s">
        <v>91</v>
      </c>
      <c r="K197" s="218" t="s">
        <v>77</v>
      </c>
      <c r="L197" s="219">
        <v>46025</v>
      </c>
      <c r="M197" s="218" t="str">
        <f ca="1">IF(Tabela4[[#This Row],[RECOMPRADO]]="RECEBIDO","LIQUIDADO",IF(O197="LIQUIDADO","LIQUIDADO",IF(I197&lt;$I$5,"VENCIDO","A VENCER")))</f>
        <v>A VENCER</v>
      </c>
      <c r="N197" s="222">
        <f ca="1">IF(Tabela4[[#This Row],[STATUS]]="LIQUIDADO","",Tabela4[[#This Row],[VCTO]]-$I$5)</f>
        <v>17</v>
      </c>
      <c r="O197" s="218"/>
      <c r="P197" s="219"/>
      <c r="Q197" s="218"/>
      <c r="R197" s="218"/>
      <c r="S197" s="218"/>
      <c r="T197" s="218"/>
      <c r="U197" s="218"/>
      <c r="V197" s="5"/>
    </row>
    <row r="198" spans="1:22">
      <c r="A198" s="5" t="s">
        <v>0</v>
      </c>
      <c r="B198" s="6">
        <v>46007</v>
      </c>
      <c r="C198" s="219" t="s">
        <v>41</v>
      </c>
      <c r="D198" s="5" t="s">
        <v>352</v>
      </c>
      <c r="E198" s="10" t="s">
        <v>96</v>
      </c>
      <c r="F198" s="5" t="s">
        <v>354</v>
      </c>
      <c r="G198" s="225" t="s">
        <v>361</v>
      </c>
      <c r="H198" s="38">
        <v>7582</v>
      </c>
      <c r="I198" s="7">
        <v>46052</v>
      </c>
      <c r="J198" s="7" t="s">
        <v>91</v>
      </c>
      <c r="K198" s="218" t="s">
        <v>81</v>
      </c>
      <c r="L198" s="219">
        <v>46027</v>
      </c>
      <c r="M198" s="5" t="str">
        <f>IF(Tabela4[[#This Row],[RECOMPRADO]]="RECEBIDO","LIQUIDADO",IF(O198="LIQUIDADO","LIQUIDADO",IF(I198&lt;$I$5,"VENCIDO","A VENCER")))</f>
        <v>LIQUIDADO</v>
      </c>
      <c r="N198" s="211" t="str">
        <f>IF(Tabela4[[#This Row],[STATUS]]="LIQUIDADO","",Tabela4[[#This Row],[VCTO]]-$I$5)</f>
        <v/>
      </c>
      <c r="O198" s="5" t="s">
        <v>86</v>
      </c>
      <c r="P198" s="6"/>
      <c r="Q198" s="5"/>
      <c r="R198" s="5"/>
      <c r="S198" s="5"/>
      <c r="T198" s="5"/>
      <c r="U198" s="5"/>
      <c r="V198" s="5"/>
    </row>
    <row r="199" spans="1:22">
      <c r="A199" s="5" t="s">
        <v>0</v>
      </c>
      <c r="B199" s="6">
        <v>46007</v>
      </c>
      <c r="C199" s="219" t="s">
        <v>41</v>
      </c>
      <c r="D199" s="5" t="s">
        <v>352</v>
      </c>
      <c r="E199" s="10" t="s">
        <v>97</v>
      </c>
      <c r="F199" s="5" t="s">
        <v>354</v>
      </c>
      <c r="G199" s="225" t="s">
        <v>361</v>
      </c>
      <c r="H199" s="38">
        <v>7582</v>
      </c>
      <c r="I199" s="7">
        <v>46059</v>
      </c>
      <c r="J199" s="7" t="s">
        <v>91</v>
      </c>
      <c r="K199" s="218" t="s">
        <v>81</v>
      </c>
      <c r="L199" s="219">
        <v>46027</v>
      </c>
      <c r="M199" s="5" t="str">
        <f>IF(Tabela4[[#This Row],[RECOMPRADO]]="RECEBIDO","LIQUIDADO",IF(O199="LIQUIDADO","LIQUIDADO",IF(I199&lt;$I$5,"VENCIDO","A VENCER")))</f>
        <v>LIQUIDADO</v>
      </c>
      <c r="N199" s="211" t="str">
        <f>IF(Tabela4[[#This Row],[STATUS]]="LIQUIDADO","",Tabela4[[#This Row],[VCTO]]-$I$5)</f>
        <v/>
      </c>
      <c r="O199" s="5" t="s">
        <v>86</v>
      </c>
      <c r="P199" s="6"/>
      <c r="Q199" s="5"/>
      <c r="R199" s="5"/>
      <c r="S199" s="5"/>
      <c r="T199" s="5"/>
      <c r="U199" s="5"/>
      <c r="V199" s="5"/>
    </row>
    <row r="200" spans="1:22">
      <c r="A200" s="5" t="s">
        <v>0</v>
      </c>
      <c r="B200" s="6">
        <v>46008</v>
      </c>
      <c r="C200" s="6" t="s">
        <v>41</v>
      </c>
      <c r="D200" s="5" t="s">
        <v>326</v>
      </c>
      <c r="E200" s="10" t="s">
        <v>95</v>
      </c>
      <c r="F200" s="5" t="s">
        <v>343</v>
      </c>
      <c r="G200" s="225" t="s">
        <v>362</v>
      </c>
      <c r="H200" s="38">
        <v>500</v>
      </c>
      <c r="I200" s="7">
        <v>46044</v>
      </c>
      <c r="J200" s="7" t="s">
        <v>91</v>
      </c>
      <c r="K200" s="218" t="s">
        <v>77</v>
      </c>
      <c r="L200" s="219">
        <v>46030</v>
      </c>
      <c r="M200" s="218" t="str">
        <f>IF(Tabela4[[#This Row],[RECOMPRADO]]="RECEBIDO","LIQUIDADO",IF(O200="LIQUIDADO","LIQUIDADO",IF(I200&lt;$I$5,"VENCIDO","A VENCER")))</f>
        <v>LIQUIDADO</v>
      </c>
      <c r="N200" s="222" t="str">
        <f>IF(Tabela4[[#This Row],[STATUS]]="LIQUIDADO","",Tabela4[[#This Row],[VCTO]]-$I$5)</f>
        <v/>
      </c>
      <c r="O200" s="218" t="s">
        <v>86</v>
      </c>
      <c r="P200" s="219"/>
      <c r="Q200" s="218"/>
      <c r="R200" s="218"/>
      <c r="S200" s="218"/>
      <c r="T200" s="218"/>
      <c r="U200" s="218"/>
      <c r="V200" s="5"/>
    </row>
    <row r="201" spans="1:22">
      <c r="A201" s="5" t="s">
        <v>0</v>
      </c>
      <c r="B201" s="6">
        <v>46008</v>
      </c>
      <c r="C201" s="6" t="s">
        <v>43</v>
      </c>
      <c r="D201" s="5" t="s">
        <v>326</v>
      </c>
      <c r="E201" s="10" t="s">
        <v>95</v>
      </c>
      <c r="F201" s="5" t="s">
        <v>343</v>
      </c>
      <c r="G201" s="225" t="s">
        <v>362</v>
      </c>
      <c r="H201" s="38">
        <v>500</v>
      </c>
      <c r="I201" s="7">
        <v>46044</v>
      </c>
      <c r="J201" s="7" t="s">
        <v>91</v>
      </c>
      <c r="K201" s="218" t="s">
        <v>77</v>
      </c>
      <c r="L201" s="219">
        <v>46030</v>
      </c>
      <c r="M201" s="218" t="str">
        <f>IF(Tabela4[[#This Row],[RECOMPRADO]]="RECEBIDO","LIQUIDADO",IF(O201="LIQUIDADO","LIQUIDADO",IF(I201&lt;$I$5,"VENCIDO","A VENCER")))</f>
        <v>LIQUIDADO</v>
      </c>
      <c r="N201" s="222" t="str">
        <f>IF(Tabela4[[#This Row],[STATUS]]="LIQUIDADO","",Tabela4[[#This Row],[VCTO]]-$I$5)</f>
        <v/>
      </c>
      <c r="O201" s="218" t="s">
        <v>86</v>
      </c>
      <c r="P201" s="219"/>
      <c r="Q201" s="218"/>
      <c r="R201" s="218"/>
      <c r="S201" s="218"/>
      <c r="T201" s="218"/>
      <c r="U201" s="218"/>
      <c r="V201" s="5"/>
    </row>
    <row r="202" spans="1:22">
      <c r="A202" s="5" t="s">
        <v>7</v>
      </c>
      <c r="B202" s="6">
        <v>46008</v>
      </c>
      <c r="C202" s="6" t="s">
        <v>41</v>
      </c>
      <c r="D202" s="5" t="s">
        <v>327</v>
      </c>
      <c r="E202" s="10" t="s">
        <v>95</v>
      </c>
      <c r="F202" s="5" t="s">
        <v>344</v>
      </c>
      <c r="G202" s="225" t="s">
        <v>378</v>
      </c>
      <c r="H202" s="38">
        <v>3150</v>
      </c>
      <c r="I202" s="7">
        <v>46043</v>
      </c>
      <c r="J202" s="7" t="s">
        <v>91</v>
      </c>
      <c r="K202" s="218" t="s">
        <v>77</v>
      </c>
      <c r="L202" s="219">
        <v>46030</v>
      </c>
      <c r="M202" s="218" t="str">
        <f>IF(Tabela4[[#This Row],[RECOMPRADO]]="RECEBIDO","LIQUIDADO",IF(O202="LIQUIDADO","LIQUIDADO",IF(I202&lt;$I$5,"VENCIDO","A VENCER")))</f>
        <v>LIQUIDADO</v>
      </c>
      <c r="N202" s="222" t="str">
        <f>IF(Tabela4[[#This Row],[STATUS]]="LIQUIDADO","",Tabela4[[#This Row],[VCTO]]-$I$5)</f>
        <v/>
      </c>
      <c r="O202" s="218" t="s">
        <v>86</v>
      </c>
      <c r="P202" s="219"/>
      <c r="Q202" s="218"/>
      <c r="R202" s="218"/>
      <c r="S202" s="218"/>
      <c r="T202" s="218"/>
      <c r="U202" s="218"/>
      <c r="V202" s="5"/>
    </row>
    <row r="203" spans="1:22">
      <c r="A203" s="5" t="s">
        <v>7</v>
      </c>
      <c r="B203" s="6">
        <v>46008</v>
      </c>
      <c r="C203" s="6" t="s">
        <v>41</v>
      </c>
      <c r="D203" s="5" t="s">
        <v>327</v>
      </c>
      <c r="E203" s="10" t="s">
        <v>92</v>
      </c>
      <c r="F203" s="5" t="s">
        <v>344</v>
      </c>
      <c r="G203" s="225" t="s">
        <v>378</v>
      </c>
      <c r="H203" s="38">
        <v>3150</v>
      </c>
      <c r="I203" s="7">
        <v>46036</v>
      </c>
      <c r="J203" s="7" t="s">
        <v>91</v>
      </c>
      <c r="K203" s="218" t="s">
        <v>77</v>
      </c>
      <c r="L203" s="219">
        <v>46030</v>
      </c>
      <c r="M203" s="218" t="str">
        <f>IF(Tabela4[[#This Row],[RECOMPRADO]]="RECEBIDO","LIQUIDADO",IF(O203="LIQUIDADO","LIQUIDADO",IF(I203&lt;$I$5,"VENCIDO","A VENCER")))</f>
        <v>LIQUIDADO</v>
      </c>
      <c r="N203" s="222" t="str">
        <f>IF(Tabela4[[#This Row],[STATUS]]="LIQUIDADO","",Tabela4[[#This Row],[VCTO]]-$I$5)</f>
        <v/>
      </c>
      <c r="O203" s="218" t="s">
        <v>86</v>
      </c>
      <c r="P203" s="219"/>
      <c r="Q203" s="218"/>
      <c r="R203" s="218"/>
      <c r="S203" s="218"/>
      <c r="T203" s="218"/>
      <c r="U203" s="218"/>
      <c r="V203" s="5"/>
    </row>
    <row r="204" spans="1:22">
      <c r="A204" s="5" t="s">
        <v>0</v>
      </c>
      <c r="B204" s="6">
        <v>46008</v>
      </c>
      <c r="C204" s="6" t="s">
        <v>41</v>
      </c>
      <c r="D204" s="5" t="s">
        <v>328</v>
      </c>
      <c r="E204" s="10" t="s">
        <v>92</v>
      </c>
      <c r="F204" s="5" t="s">
        <v>333</v>
      </c>
      <c r="G204" s="225" t="s">
        <v>363</v>
      </c>
      <c r="H204" s="38">
        <v>1061.67</v>
      </c>
      <c r="I204" s="7">
        <v>46039</v>
      </c>
      <c r="J204" s="7" t="s">
        <v>91</v>
      </c>
      <c r="K204" s="218" t="s">
        <v>77</v>
      </c>
      <c r="L204" s="219">
        <v>46030</v>
      </c>
      <c r="M204" s="218" t="str">
        <f>IF(Tabela4[[#This Row],[RECOMPRADO]]="RECEBIDO","LIQUIDADO",IF(O204="LIQUIDADO","LIQUIDADO",IF(I204&lt;$I$5,"VENCIDO","A VENCER")))</f>
        <v>LIQUIDADO</v>
      </c>
      <c r="N204" s="222" t="str">
        <f>IF(Tabela4[[#This Row],[STATUS]]="LIQUIDADO","",Tabela4[[#This Row],[VCTO]]-$I$5)</f>
        <v/>
      </c>
      <c r="O204" s="218" t="s">
        <v>86</v>
      </c>
      <c r="P204" s="219"/>
      <c r="Q204" s="218"/>
      <c r="R204" s="218"/>
      <c r="S204" s="218"/>
      <c r="T204" s="218"/>
      <c r="U204" s="218"/>
      <c r="V204" s="5"/>
    </row>
    <row r="205" spans="1:22">
      <c r="A205" s="5" t="s">
        <v>0</v>
      </c>
      <c r="B205" s="6">
        <v>46008</v>
      </c>
      <c r="C205" s="6" t="s">
        <v>43</v>
      </c>
      <c r="D205" s="5" t="s">
        <v>328</v>
      </c>
      <c r="E205" s="10" t="s">
        <v>92</v>
      </c>
      <c r="F205" s="5" t="s">
        <v>333</v>
      </c>
      <c r="G205" s="225" t="s">
        <v>363</v>
      </c>
      <c r="H205" s="38">
        <v>1061.67</v>
      </c>
      <c r="I205" s="7">
        <v>46039</v>
      </c>
      <c r="J205" s="7" t="s">
        <v>91</v>
      </c>
      <c r="K205" s="218" t="s">
        <v>77</v>
      </c>
      <c r="L205" s="219">
        <v>46030</v>
      </c>
      <c r="M205" s="218" t="str">
        <f>IF(Tabela4[[#This Row],[RECOMPRADO]]="RECEBIDO","LIQUIDADO",IF(O205="LIQUIDADO","LIQUIDADO",IF(I205&lt;$I$5,"VENCIDO","A VENCER")))</f>
        <v>LIQUIDADO</v>
      </c>
      <c r="N205" s="222" t="str">
        <f>IF(Tabela4[[#This Row],[STATUS]]="LIQUIDADO","",Tabela4[[#This Row],[VCTO]]-$I$5)</f>
        <v/>
      </c>
      <c r="O205" s="218" t="s">
        <v>86</v>
      </c>
      <c r="P205" s="219"/>
      <c r="Q205" s="218"/>
      <c r="R205" s="218"/>
      <c r="S205" s="218"/>
      <c r="T205" s="218"/>
      <c r="U205" s="218"/>
      <c r="V205" s="5"/>
    </row>
    <row r="206" spans="1:22">
      <c r="A206" s="5" t="s">
        <v>0</v>
      </c>
      <c r="B206" s="6">
        <v>46008</v>
      </c>
      <c r="C206" s="6" t="s">
        <v>41</v>
      </c>
      <c r="D206" s="5" t="s">
        <v>326</v>
      </c>
      <c r="E206" s="10" t="s">
        <v>92</v>
      </c>
      <c r="F206" s="5" t="s">
        <v>343</v>
      </c>
      <c r="G206" s="225" t="s">
        <v>362</v>
      </c>
      <c r="H206" s="38">
        <v>500</v>
      </c>
      <c r="I206" s="7">
        <v>46037</v>
      </c>
      <c r="J206" s="7" t="s">
        <v>91</v>
      </c>
      <c r="K206" s="218" t="s">
        <v>77</v>
      </c>
      <c r="L206" s="219">
        <v>46030</v>
      </c>
      <c r="M206" s="218" t="str">
        <f>IF(Tabela4[[#This Row],[RECOMPRADO]]="RECEBIDO","LIQUIDADO",IF(O206="LIQUIDADO","LIQUIDADO",IF(I206&lt;$I$5,"VENCIDO","A VENCER")))</f>
        <v>LIQUIDADO</v>
      </c>
      <c r="N206" s="222" t="str">
        <f>IF(Tabela4[[#This Row],[STATUS]]="LIQUIDADO","",Tabela4[[#This Row],[VCTO]]-$I$5)</f>
        <v/>
      </c>
      <c r="O206" s="218" t="s">
        <v>86</v>
      </c>
      <c r="P206" s="219"/>
      <c r="Q206" s="218"/>
      <c r="R206" s="218"/>
      <c r="S206" s="218"/>
      <c r="T206" s="218"/>
      <c r="U206" s="218"/>
      <c r="V206" s="5"/>
    </row>
    <row r="207" spans="1:22">
      <c r="A207" s="5" t="s">
        <v>0</v>
      </c>
      <c r="B207" s="6">
        <v>46008</v>
      </c>
      <c r="C207" s="6" t="s">
        <v>43</v>
      </c>
      <c r="D207" s="5" t="s">
        <v>326</v>
      </c>
      <c r="E207" s="10" t="s">
        <v>92</v>
      </c>
      <c r="F207" s="5" t="s">
        <v>343</v>
      </c>
      <c r="G207" s="315" t="s">
        <v>362</v>
      </c>
      <c r="H207" s="38">
        <v>500</v>
      </c>
      <c r="I207" s="7">
        <v>46037</v>
      </c>
      <c r="J207" s="7" t="s">
        <v>91</v>
      </c>
      <c r="K207" s="218" t="s">
        <v>77</v>
      </c>
      <c r="L207" s="219">
        <v>46030</v>
      </c>
      <c r="M207" s="218" t="str">
        <f>IF(Tabela4[[#This Row],[RECOMPRADO]]="RECEBIDO","LIQUIDADO",IF(O207="LIQUIDADO","LIQUIDADO",IF(I207&lt;$I$5,"VENCIDO","A VENCER")))</f>
        <v>LIQUIDADO</v>
      </c>
      <c r="N207" s="222" t="str">
        <f>IF(Tabela4[[#This Row],[STATUS]]="LIQUIDADO","",Tabela4[[#This Row],[VCTO]]-$I$5)</f>
        <v/>
      </c>
      <c r="O207" s="218" t="s">
        <v>86</v>
      </c>
      <c r="P207" s="219"/>
      <c r="Q207" s="218"/>
      <c r="R207" s="218"/>
      <c r="S207" s="218"/>
      <c r="T207" s="218"/>
      <c r="U207" s="218"/>
      <c r="V207" s="5"/>
    </row>
    <row r="208" spans="1:22">
      <c r="A208" s="218" t="s">
        <v>108</v>
      </c>
      <c r="B208" s="219">
        <v>46008</v>
      </c>
      <c r="C208" s="6" t="s">
        <v>41</v>
      </c>
      <c r="D208" s="218">
        <v>698</v>
      </c>
      <c r="E208" s="10" t="s">
        <v>92</v>
      </c>
      <c r="F208" s="5" t="s">
        <v>391</v>
      </c>
      <c r="G208" s="315">
        <v>53937474000101</v>
      </c>
      <c r="H208" s="241">
        <v>52350</v>
      </c>
      <c r="I208" s="233">
        <v>46058</v>
      </c>
      <c r="J208" s="233" t="s">
        <v>91</v>
      </c>
      <c r="K208" s="218" t="s">
        <v>79</v>
      </c>
      <c r="L208" s="11">
        <v>46045</v>
      </c>
      <c r="M208" s="223" t="str">
        <f>IF(Tabela4[[#This Row],[RECOMPRADO]]="RECEBIDO","LIQUIDADO",IF(O208="LIQUIDADO","LIQUIDADO",IF(I208&lt;$I$5,"VENCIDO","A VENCER")))</f>
        <v>LIQUIDADO</v>
      </c>
      <c r="N208" s="226" t="str">
        <f>IF(Tabela4[[#This Row],[STATUS]]="LIQUIDADO","",Tabela4[[#This Row],[VCTO]]-$I$5)</f>
        <v/>
      </c>
      <c r="O208" s="223" t="s">
        <v>86</v>
      </c>
      <c r="P208" s="224"/>
      <c r="Q208" s="223"/>
      <c r="R208" s="223"/>
      <c r="S208" s="223"/>
      <c r="T208" s="26" t="s">
        <v>388</v>
      </c>
      <c r="U208" s="26"/>
      <c r="V208" s="5" t="s">
        <v>635</v>
      </c>
    </row>
    <row r="209" spans="1:22">
      <c r="A209" s="218" t="s">
        <v>108</v>
      </c>
      <c r="B209" s="219">
        <v>46008</v>
      </c>
      <c r="C209" s="219" t="s">
        <v>41</v>
      </c>
      <c r="D209" s="218">
        <v>698</v>
      </c>
      <c r="E209" s="10" t="s">
        <v>95</v>
      </c>
      <c r="F209" s="5" t="s">
        <v>391</v>
      </c>
      <c r="G209" s="315">
        <v>53937474000101</v>
      </c>
      <c r="H209" s="241">
        <v>52350</v>
      </c>
      <c r="I209" s="233">
        <v>46073</v>
      </c>
      <c r="J209" s="221" t="s">
        <v>91</v>
      </c>
      <c r="K209" s="218" t="s">
        <v>79</v>
      </c>
      <c r="L209" s="11">
        <v>46045</v>
      </c>
      <c r="M209" s="218" t="str">
        <f>IF(Tabela4[[#This Row],[RECOMPRADO]]="RECEBIDO","LIQUIDADO",IF(O209="LIQUIDADO","LIQUIDADO",IF(I209&lt;$I$5,"VENCIDO","A VENCER")))</f>
        <v>LIQUIDADO</v>
      </c>
      <c r="N209" s="222" t="str">
        <f>IF(Tabela4[[#This Row],[STATUS]]="LIQUIDADO","",Tabela4[[#This Row],[VCTO]]-$I$5)</f>
        <v/>
      </c>
      <c r="O209" s="218" t="s">
        <v>86</v>
      </c>
      <c r="P209" s="219"/>
      <c r="Q209" s="218"/>
      <c r="R209" s="218"/>
      <c r="S209" s="218"/>
      <c r="T209" s="5" t="s">
        <v>388</v>
      </c>
      <c r="U209" s="5"/>
      <c r="V209" s="5" t="s">
        <v>635</v>
      </c>
    </row>
    <row r="210" spans="1:22">
      <c r="A210" s="218" t="s">
        <v>0</v>
      </c>
      <c r="B210" s="219">
        <v>46008</v>
      </c>
      <c r="C210" s="6" t="s">
        <v>41</v>
      </c>
      <c r="D210" s="218">
        <v>251</v>
      </c>
      <c r="E210" s="10" t="s">
        <v>92</v>
      </c>
      <c r="F210" s="5" t="s">
        <v>471</v>
      </c>
      <c r="G210" s="353" t="s">
        <v>533</v>
      </c>
      <c r="H210" s="241">
        <v>8581.25</v>
      </c>
      <c r="I210" s="233">
        <v>46069</v>
      </c>
      <c r="J210" s="221" t="s">
        <v>91</v>
      </c>
      <c r="K210" s="218" t="s">
        <v>77</v>
      </c>
      <c r="L210" s="219">
        <v>46030</v>
      </c>
      <c r="M210" s="218" t="str">
        <f>IF(Tabela4[[#This Row],[RECOMPRADO]]="RECEBIDO","LIQUIDADO",IF(O210="LIQUIDADO","LIQUIDADO",IF(I210&lt;$I$5,"VENCIDO","A VENCER")))</f>
        <v>LIQUIDADO</v>
      </c>
      <c r="N210" s="222" t="str">
        <f>IF(Tabela4[[#This Row],[STATUS]]="LIQUIDADO","",Tabela4[[#This Row],[VCTO]]-$I$5)</f>
        <v/>
      </c>
      <c r="O210" s="218" t="s">
        <v>86</v>
      </c>
      <c r="P210" s="219"/>
      <c r="Q210" s="218"/>
      <c r="R210" s="218"/>
      <c r="S210" s="218"/>
      <c r="T210" s="218"/>
      <c r="U210" s="218"/>
      <c r="V210" s="5"/>
    </row>
    <row r="211" spans="1:22">
      <c r="A211" s="5" t="s">
        <v>0</v>
      </c>
      <c r="B211" s="219">
        <v>46008</v>
      </c>
      <c r="C211" s="6" t="s">
        <v>41</v>
      </c>
      <c r="D211" s="218">
        <v>251</v>
      </c>
      <c r="E211" s="10" t="s">
        <v>95</v>
      </c>
      <c r="F211" s="5" t="s">
        <v>471</v>
      </c>
      <c r="G211" s="354" t="s">
        <v>533</v>
      </c>
      <c r="H211" s="241">
        <v>8581.25</v>
      </c>
      <c r="I211" s="233">
        <v>46084</v>
      </c>
      <c r="J211" s="221" t="s">
        <v>91</v>
      </c>
      <c r="K211" s="218" t="s">
        <v>77</v>
      </c>
      <c r="L211" s="219">
        <v>46030</v>
      </c>
      <c r="M211" s="218" t="str">
        <f>IF(Tabela4[[#This Row],[RECOMPRADO]]="RECEBIDO","LIQUIDADO",IF(O211="LIQUIDADO","LIQUIDADO",IF(I211&lt;$I$5,"VENCIDO","A VENCER")))</f>
        <v>LIQUIDADO</v>
      </c>
      <c r="N211" s="222" t="str">
        <f>IF(Tabela4[[#This Row],[STATUS]]="LIQUIDADO","",Tabela4[[#This Row],[VCTO]]-$I$5)</f>
        <v/>
      </c>
      <c r="O211" s="218" t="s">
        <v>86</v>
      </c>
      <c r="P211" s="219"/>
      <c r="Q211" s="218"/>
      <c r="R211" s="218"/>
      <c r="S211" s="218"/>
      <c r="T211" s="218"/>
      <c r="U211" s="218"/>
      <c r="V211" s="5"/>
    </row>
    <row r="212" spans="1:22">
      <c r="A212" s="218" t="s">
        <v>0</v>
      </c>
      <c r="B212" s="219">
        <v>46008</v>
      </c>
      <c r="C212" s="6" t="s">
        <v>41</v>
      </c>
      <c r="D212" s="218">
        <v>251</v>
      </c>
      <c r="E212" s="10" t="s">
        <v>96</v>
      </c>
      <c r="F212" s="5" t="s">
        <v>471</v>
      </c>
      <c r="G212" s="354" t="s">
        <v>533</v>
      </c>
      <c r="H212" s="241">
        <v>8581.25</v>
      </c>
      <c r="I212" s="233">
        <v>46099</v>
      </c>
      <c r="J212" s="221" t="s">
        <v>91</v>
      </c>
      <c r="K212" s="218" t="s">
        <v>77</v>
      </c>
      <c r="L212" s="219">
        <v>46030</v>
      </c>
      <c r="M212" s="218" t="str">
        <f ca="1">IF(Tabela4[[#This Row],[RECOMPRADO]]="RECEBIDO","LIQUIDADO",IF(O212="LIQUIDADO","LIQUIDADO",IF(I212&lt;$I$5,"VENCIDO","A VENCER")))</f>
        <v>A VENCER</v>
      </c>
      <c r="N212" s="222">
        <f ca="1">IF(Tabela4[[#This Row],[STATUS]]="LIQUIDADO","",Tabela4[[#This Row],[VCTO]]-$I$5)</f>
        <v>1</v>
      </c>
      <c r="O212" s="218"/>
      <c r="P212" s="219"/>
      <c r="Q212" s="218"/>
      <c r="R212" s="218"/>
      <c r="S212" s="218"/>
      <c r="T212" s="218"/>
      <c r="U212" s="218"/>
      <c r="V212" s="5"/>
    </row>
    <row r="213" spans="1:22">
      <c r="A213" s="218" t="s">
        <v>0</v>
      </c>
      <c r="B213" s="219">
        <v>46008</v>
      </c>
      <c r="C213" s="6" t="s">
        <v>41</v>
      </c>
      <c r="D213" s="218">
        <v>251</v>
      </c>
      <c r="E213" s="10" t="s">
        <v>97</v>
      </c>
      <c r="F213" s="5" t="s">
        <v>471</v>
      </c>
      <c r="G213" s="354" t="s">
        <v>533</v>
      </c>
      <c r="H213" s="241">
        <v>8581.25</v>
      </c>
      <c r="I213" s="233">
        <v>46114</v>
      </c>
      <c r="J213" s="221" t="s">
        <v>91</v>
      </c>
      <c r="K213" s="218" t="s">
        <v>77</v>
      </c>
      <c r="L213" s="219">
        <v>46030</v>
      </c>
      <c r="M213" s="218" t="str">
        <f ca="1">IF(Tabela4[[#This Row],[RECOMPRADO]]="RECEBIDO","LIQUIDADO",IF(O213="LIQUIDADO","LIQUIDADO",IF(I213&lt;$I$5,"VENCIDO","A VENCER")))</f>
        <v>A VENCER</v>
      </c>
      <c r="N213" s="222">
        <f ca="1">IF(Tabela4[[#This Row],[STATUS]]="LIQUIDADO","",Tabela4[[#This Row],[VCTO]]-$I$5)</f>
        <v>16</v>
      </c>
      <c r="O213" s="218"/>
      <c r="P213" s="219"/>
      <c r="Q213" s="218"/>
      <c r="R213" s="218"/>
      <c r="S213" s="218"/>
      <c r="T213" s="218"/>
      <c r="U213" s="218"/>
      <c r="V213" s="5"/>
    </row>
    <row r="214" spans="1:22">
      <c r="A214" s="218" t="s">
        <v>0</v>
      </c>
      <c r="B214" s="219">
        <v>46009</v>
      </c>
      <c r="C214" s="6" t="s">
        <v>41</v>
      </c>
      <c r="D214" s="230" t="s">
        <v>295</v>
      </c>
      <c r="E214" s="10" t="s">
        <v>92</v>
      </c>
      <c r="F214" s="5" t="s">
        <v>24</v>
      </c>
      <c r="G214" s="225" t="s">
        <v>59</v>
      </c>
      <c r="H214" s="39">
        <v>100000</v>
      </c>
      <c r="I214" s="36">
        <v>46041</v>
      </c>
      <c r="J214" s="7" t="s">
        <v>91</v>
      </c>
      <c r="K214" s="218" t="s">
        <v>75</v>
      </c>
      <c r="L214" s="219">
        <v>46026</v>
      </c>
      <c r="M214" s="218" t="str">
        <f>IF(Tabela4[[#This Row],[RECOMPRADO]]="RECEBIDO","LIQUIDADO",IF(O214="LIQUIDADO","LIQUIDADO",IF(I214&lt;$I$5,"VENCIDO","A VENCER")))</f>
        <v>LIQUIDADO</v>
      </c>
      <c r="N214" s="222" t="str">
        <f>IF(Tabela4[[#This Row],[STATUS]]="LIQUIDADO","",Tabela4[[#This Row],[VCTO]]-$I$5)</f>
        <v/>
      </c>
      <c r="O214" s="5" t="s">
        <v>86</v>
      </c>
      <c r="P214" s="219"/>
      <c r="Q214" s="218"/>
      <c r="R214" s="218"/>
      <c r="S214" s="218"/>
      <c r="T214" s="218"/>
      <c r="U214" s="218"/>
      <c r="V214" s="5"/>
    </row>
    <row r="215" spans="1:22">
      <c r="A215" s="5" t="s">
        <v>0</v>
      </c>
      <c r="B215" s="6">
        <v>46009</v>
      </c>
      <c r="C215" s="6" t="s">
        <v>41</v>
      </c>
      <c r="D215" s="5" t="s">
        <v>329</v>
      </c>
      <c r="E215" s="10" t="s">
        <v>95</v>
      </c>
      <c r="F215" s="5" t="s">
        <v>345</v>
      </c>
      <c r="G215" s="225" t="s">
        <v>364</v>
      </c>
      <c r="H215" s="39">
        <v>1440</v>
      </c>
      <c r="I215" s="36">
        <v>46045</v>
      </c>
      <c r="J215" s="7" t="s">
        <v>91</v>
      </c>
      <c r="K215" s="218" t="s">
        <v>77</v>
      </c>
      <c r="L215" s="219">
        <v>46030</v>
      </c>
      <c r="M215" s="218" t="str">
        <f>IF(Tabela4[[#This Row],[RECOMPRADO]]="RECEBIDO","LIQUIDADO",IF(O215="LIQUIDADO","LIQUIDADO",IF(I215&lt;$I$5,"VENCIDO","A VENCER")))</f>
        <v>LIQUIDADO</v>
      </c>
      <c r="N215" s="222" t="str">
        <f>IF(Tabela4[[#This Row],[STATUS]]="LIQUIDADO","",Tabela4[[#This Row],[VCTO]]-$I$5)</f>
        <v/>
      </c>
      <c r="O215" s="218" t="s">
        <v>86</v>
      </c>
      <c r="P215" s="219"/>
      <c r="Q215" s="218"/>
      <c r="R215" s="218"/>
      <c r="S215" s="218"/>
      <c r="T215" s="218"/>
      <c r="U215" s="218"/>
      <c r="V215" s="5"/>
    </row>
    <row r="216" spans="1:22">
      <c r="A216" s="5" t="s">
        <v>0</v>
      </c>
      <c r="B216" s="6">
        <v>46009</v>
      </c>
      <c r="C216" s="6" t="s">
        <v>41</v>
      </c>
      <c r="D216" s="5" t="s">
        <v>330</v>
      </c>
      <c r="E216" s="10" t="s">
        <v>95</v>
      </c>
      <c r="F216" s="5" t="s">
        <v>346</v>
      </c>
      <c r="G216" s="225" t="s">
        <v>365</v>
      </c>
      <c r="H216" s="39">
        <v>1148.6199999999999</v>
      </c>
      <c r="I216" s="36">
        <v>46045</v>
      </c>
      <c r="J216" s="7" t="s">
        <v>91</v>
      </c>
      <c r="K216" s="218" t="s">
        <v>77</v>
      </c>
      <c r="L216" s="219">
        <v>46030</v>
      </c>
      <c r="M216" s="218" t="str">
        <f>IF(Tabela4[[#This Row],[RECOMPRADO]]="RECEBIDO","LIQUIDADO",IF(O216="LIQUIDADO","LIQUIDADO",IF(I216&lt;$I$5,"VENCIDO","A VENCER")))</f>
        <v>LIQUIDADO</v>
      </c>
      <c r="N216" s="222" t="str">
        <f>IF(Tabela4[[#This Row],[STATUS]]="LIQUIDADO","",Tabela4[[#This Row],[VCTO]]-$I$5)</f>
        <v/>
      </c>
      <c r="O216" s="218" t="s">
        <v>86</v>
      </c>
      <c r="P216" s="219"/>
      <c r="Q216" s="218"/>
      <c r="R216" s="218"/>
      <c r="S216" s="218"/>
      <c r="T216" s="218"/>
      <c r="U216" s="218"/>
      <c r="V216" s="5"/>
    </row>
    <row r="217" spans="1:22">
      <c r="A217" s="5" t="s">
        <v>0</v>
      </c>
      <c r="B217" s="6">
        <v>46009</v>
      </c>
      <c r="C217" s="6" t="s">
        <v>43</v>
      </c>
      <c r="D217" s="5" t="s">
        <v>330</v>
      </c>
      <c r="E217" s="10" t="s">
        <v>95</v>
      </c>
      <c r="F217" s="5" t="s">
        <v>346</v>
      </c>
      <c r="G217" s="225" t="s">
        <v>365</v>
      </c>
      <c r="H217" s="39">
        <v>1148.6199999999999</v>
      </c>
      <c r="I217" s="36">
        <v>46045</v>
      </c>
      <c r="J217" s="7" t="s">
        <v>91</v>
      </c>
      <c r="K217" s="218" t="s">
        <v>77</v>
      </c>
      <c r="L217" s="219">
        <v>46030</v>
      </c>
      <c r="M217" s="218" t="str">
        <f>IF(Tabela4[[#This Row],[RECOMPRADO]]="RECEBIDO","LIQUIDADO",IF(O217="LIQUIDADO","LIQUIDADO",IF(I217&lt;$I$5,"VENCIDO","A VENCER")))</f>
        <v>LIQUIDADO</v>
      </c>
      <c r="N217" s="222" t="str">
        <f>IF(Tabela4[[#This Row],[STATUS]]="LIQUIDADO","",Tabela4[[#This Row],[VCTO]]-$I$5)</f>
        <v/>
      </c>
      <c r="O217" s="218" t="s">
        <v>86</v>
      </c>
      <c r="P217" s="219"/>
      <c r="Q217" s="218"/>
      <c r="R217" s="218"/>
      <c r="S217" s="218"/>
      <c r="T217" s="218"/>
      <c r="U217" s="218"/>
      <c r="V217" s="5"/>
    </row>
    <row r="218" spans="1:22">
      <c r="A218" s="5" t="s">
        <v>7</v>
      </c>
      <c r="B218" s="6">
        <v>46009</v>
      </c>
      <c r="C218" s="6" t="s">
        <v>41</v>
      </c>
      <c r="D218" s="5" t="s">
        <v>331</v>
      </c>
      <c r="E218" s="10" t="s">
        <v>95</v>
      </c>
      <c r="F218" s="5" t="s">
        <v>10</v>
      </c>
      <c r="G218" s="225" t="s">
        <v>71</v>
      </c>
      <c r="H218" s="39">
        <v>1114.24</v>
      </c>
      <c r="I218" s="36">
        <v>46044</v>
      </c>
      <c r="J218" s="7" t="s">
        <v>91</v>
      </c>
      <c r="K218" s="218" t="s">
        <v>77</v>
      </c>
      <c r="L218" s="219">
        <v>46030</v>
      </c>
      <c r="M218" s="218" t="str">
        <f>IF(Tabela4[[#This Row],[RECOMPRADO]]="RECEBIDO","LIQUIDADO",IF(O218="LIQUIDADO","LIQUIDADO",IF(I218&lt;$I$5,"VENCIDO","A VENCER")))</f>
        <v>LIQUIDADO</v>
      </c>
      <c r="N218" s="222" t="str">
        <f>IF(Tabela4[[#This Row],[STATUS]]="LIQUIDADO","",Tabela4[[#This Row],[VCTO]]-$I$5)</f>
        <v/>
      </c>
      <c r="O218" s="218" t="s">
        <v>86</v>
      </c>
      <c r="P218" s="219"/>
      <c r="Q218" s="218"/>
      <c r="R218" s="218"/>
      <c r="S218" s="218"/>
      <c r="T218" s="218"/>
      <c r="U218" s="218"/>
      <c r="V218" s="5"/>
    </row>
    <row r="219" spans="1:22">
      <c r="A219" s="5" t="s">
        <v>0</v>
      </c>
      <c r="B219" s="6">
        <v>46009</v>
      </c>
      <c r="C219" s="6" t="s">
        <v>41</v>
      </c>
      <c r="D219" s="5" t="s">
        <v>329</v>
      </c>
      <c r="E219" s="10" t="s">
        <v>92</v>
      </c>
      <c r="F219" s="5" t="s">
        <v>345</v>
      </c>
      <c r="G219" s="225" t="s">
        <v>364</v>
      </c>
      <c r="H219" s="39">
        <v>1440</v>
      </c>
      <c r="I219" s="36">
        <v>46038</v>
      </c>
      <c r="J219" s="7" t="s">
        <v>91</v>
      </c>
      <c r="K219" s="218" t="s">
        <v>77</v>
      </c>
      <c r="L219" s="219">
        <v>46030</v>
      </c>
      <c r="M219" s="218" t="str">
        <f>IF(Tabela4[[#This Row],[RECOMPRADO]]="RECEBIDO","LIQUIDADO",IF(O219="LIQUIDADO","LIQUIDADO",IF(I219&lt;$I$5,"VENCIDO","A VENCER")))</f>
        <v>LIQUIDADO</v>
      </c>
      <c r="N219" s="222" t="str">
        <f>IF(Tabela4[[#This Row],[STATUS]]="LIQUIDADO","",Tabela4[[#This Row],[VCTO]]-$I$5)</f>
        <v/>
      </c>
      <c r="O219" s="218" t="s">
        <v>86</v>
      </c>
      <c r="P219" s="219"/>
      <c r="Q219" s="218"/>
      <c r="R219" s="218"/>
      <c r="S219" s="218"/>
      <c r="T219" s="218"/>
      <c r="U219" s="218"/>
      <c r="V219" s="5"/>
    </row>
    <row r="220" spans="1:22">
      <c r="A220" s="5" t="s">
        <v>0</v>
      </c>
      <c r="B220" s="6">
        <v>46009</v>
      </c>
      <c r="C220" s="6" t="s">
        <v>41</v>
      </c>
      <c r="D220" s="5" t="s">
        <v>330</v>
      </c>
      <c r="E220" s="10" t="s">
        <v>92</v>
      </c>
      <c r="F220" s="5" t="s">
        <v>346</v>
      </c>
      <c r="G220" s="225" t="s">
        <v>365</v>
      </c>
      <c r="H220" s="39">
        <v>1495.98</v>
      </c>
      <c r="I220" s="36">
        <v>46038</v>
      </c>
      <c r="J220" s="7" t="s">
        <v>91</v>
      </c>
      <c r="K220" s="218" t="s">
        <v>77</v>
      </c>
      <c r="L220" s="219">
        <v>46030</v>
      </c>
      <c r="M220" s="218" t="str">
        <f>IF(Tabela4[[#This Row],[RECOMPRADO]]="RECEBIDO","LIQUIDADO",IF(O220="LIQUIDADO","LIQUIDADO",IF(I220&lt;$I$5,"VENCIDO","A VENCER")))</f>
        <v>LIQUIDADO</v>
      </c>
      <c r="N220" s="222" t="str">
        <f>IF(Tabela4[[#This Row],[STATUS]]="LIQUIDADO","",Tabela4[[#This Row],[VCTO]]-$I$5)</f>
        <v/>
      </c>
      <c r="O220" s="218" t="s">
        <v>86</v>
      </c>
      <c r="P220" s="219"/>
      <c r="Q220" s="218"/>
      <c r="R220" s="218"/>
      <c r="S220" s="218"/>
      <c r="T220" s="218"/>
      <c r="U220" s="218"/>
      <c r="V220" s="5"/>
    </row>
    <row r="221" spans="1:22">
      <c r="A221" s="5" t="s">
        <v>0</v>
      </c>
      <c r="B221" s="6">
        <v>46009</v>
      </c>
      <c r="C221" s="6" t="s">
        <v>43</v>
      </c>
      <c r="D221" s="5" t="s">
        <v>330</v>
      </c>
      <c r="E221" s="10" t="s">
        <v>92</v>
      </c>
      <c r="F221" s="5" t="s">
        <v>346</v>
      </c>
      <c r="G221" s="225" t="s">
        <v>365</v>
      </c>
      <c r="H221" s="39">
        <v>1148.6199999999999</v>
      </c>
      <c r="I221" s="36">
        <v>46038</v>
      </c>
      <c r="J221" s="7" t="s">
        <v>91</v>
      </c>
      <c r="K221" s="218" t="s">
        <v>77</v>
      </c>
      <c r="L221" s="219">
        <v>46030</v>
      </c>
      <c r="M221" s="218" t="str">
        <f>IF(Tabela4[[#This Row],[RECOMPRADO]]="RECEBIDO","LIQUIDADO",IF(O221="LIQUIDADO","LIQUIDADO",IF(I221&lt;$I$5,"VENCIDO","A VENCER")))</f>
        <v>LIQUIDADO</v>
      </c>
      <c r="N221" s="222" t="str">
        <f>IF(Tabela4[[#This Row],[STATUS]]="LIQUIDADO","",Tabela4[[#This Row],[VCTO]]-$I$5)</f>
        <v/>
      </c>
      <c r="O221" s="218" t="s">
        <v>86</v>
      </c>
      <c r="P221" s="219"/>
      <c r="Q221" s="218"/>
      <c r="R221" s="218"/>
      <c r="S221" s="218"/>
      <c r="T221" s="218"/>
      <c r="U221" s="218"/>
      <c r="V221" s="5"/>
    </row>
    <row r="222" spans="1:22">
      <c r="A222" s="5" t="s">
        <v>7</v>
      </c>
      <c r="B222" s="6">
        <v>46009</v>
      </c>
      <c r="C222" s="6" t="s">
        <v>41</v>
      </c>
      <c r="D222" s="5" t="s">
        <v>331</v>
      </c>
      <c r="E222" s="10" t="s">
        <v>92</v>
      </c>
      <c r="F222" s="5" t="s">
        <v>10</v>
      </c>
      <c r="G222" s="225" t="s">
        <v>71</v>
      </c>
      <c r="H222" s="39">
        <v>1535.42</v>
      </c>
      <c r="I222" s="36">
        <v>46037</v>
      </c>
      <c r="J222" s="7" t="s">
        <v>91</v>
      </c>
      <c r="K222" s="218" t="s">
        <v>77</v>
      </c>
      <c r="L222" s="219">
        <v>46030</v>
      </c>
      <c r="M222" s="218" t="str">
        <f>IF(Tabela4[[#This Row],[RECOMPRADO]]="RECEBIDO","LIQUIDADO",IF(O222="LIQUIDADO","LIQUIDADO",IF(I222&lt;$I$5,"VENCIDO","A VENCER")))</f>
        <v>LIQUIDADO</v>
      </c>
      <c r="N222" s="222" t="str">
        <f>IF(Tabela4[[#This Row],[STATUS]]="LIQUIDADO","",Tabela4[[#This Row],[VCTO]]-$I$5)</f>
        <v/>
      </c>
      <c r="O222" s="218" t="s">
        <v>86</v>
      </c>
      <c r="P222" s="219"/>
      <c r="Q222" s="218"/>
      <c r="R222" s="218"/>
      <c r="S222" s="218"/>
      <c r="T222" s="218"/>
      <c r="U222" s="218"/>
      <c r="V222" s="5"/>
    </row>
    <row r="223" spans="1:22">
      <c r="A223" s="5" t="s">
        <v>0</v>
      </c>
      <c r="B223" s="6">
        <v>46009</v>
      </c>
      <c r="C223" s="219" t="s">
        <v>41</v>
      </c>
      <c r="D223" s="5" t="s">
        <v>347</v>
      </c>
      <c r="E223" s="10" t="s">
        <v>92</v>
      </c>
      <c r="F223" s="5" t="s">
        <v>24</v>
      </c>
      <c r="G223" s="225" t="s">
        <v>59</v>
      </c>
      <c r="H223" s="39">
        <v>41075</v>
      </c>
      <c r="I223" s="36">
        <v>46041</v>
      </c>
      <c r="J223" s="221" t="s">
        <v>91</v>
      </c>
      <c r="K223" s="218" t="s">
        <v>79</v>
      </c>
      <c r="L223" s="11">
        <v>46045</v>
      </c>
      <c r="M223" s="218" t="str">
        <f>IF(Tabela4[[#This Row],[RECOMPRADO]]="RECEBIDO","LIQUIDADO",IF(O223="LIQUIDADO","LIQUIDADO",IF(I223&lt;$I$5,"VENCIDO","A VENCER")))</f>
        <v>LIQUIDADO</v>
      </c>
      <c r="N223" s="222" t="str">
        <f>IF(Tabela4[[#This Row],[STATUS]]="LIQUIDADO","",Tabela4[[#This Row],[VCTO]]-$I$5)</f>
        <v/>
      </c>
      <c r="O223" s="218" t="s">
        <v>86</v>
      </c>
      <c r="P223" s="219"/>
      <c r="Q223" s="218"/>
      <c r="R223" s="218"/>
      <c r="S223" s="218"/>
      <c r="T223" s="5" t="s">
        <v>388</v>
      </c>
      <c r="U223" s="5"/>
      <c r="V223" s="5" t="s">
        <v>635</v>
      </c>
    </row>
    <row r="224" spans="1:22">
      <c r="A224" s="5" t="s">
        <v>0</v>
      </c>
      <c r="B224" s="6">
        <v>46009</v>
      </c>
      <c r="C224" s="219" t="s">
        <v>41</v>
      </c>
      <c r="D224" s="5" t="s">
        <v>348</v>
      </c>
      <c r="E224" s="10" t="s">
        <v>92</v>
      </c>
      <c r="F224" s="5" t="s">
        <v>24</v>
      </c>
      <c r="G224" s="225" t="s">
        <v>59</v>
      </c>
      <c r="H224" s="39">
        <v>120000</v>
      </c>
      <c r="I224" s="36">
        <v>46041</v>
      </c>
      <c r="J224" s="221" t="s">
        <v>91</v>
      </c>
      <c r="K224" s="218" t="s">
        <v>79</v>
      </c>
      <c r="L224" s="11">
        <v>46045</v>
      </c>
      <c r="M224" s="218" t="str">
        <f>IF(Tabela4[[#This Row],[RECOMPRADO]]="RECEBIDO","LIQUIDADO",IF(O224="LIQUIDADO","LIQUIDADO",IF(I224&lt;$I$5,"VENCIDO","A VENCER")))</f>
        <v>LIQUIDADO</v>
      </c>
      <c r="N224" s="222" t="str">
        <f>IF(Tabela4[[#This Row],[STATUS]]="LIQUIDADO","",Tabela4[[#This Row],[VCTO]]-$I$5)</f>
        <v/>
      </c>
      <c r="O224" s="218" t="s">
        <v>86</v>
      </c>
      <c r="P224" s="219"/>
      <c r="Q224" s="218"/>
      <c r="R224" s="218"/>
      <c r="S224" s="218"/>
      <c r="T224" s="5" t="s">
        <v>388</v>
      </c>
      <c r="U224" s="5"/>
      <c r="V224" s="5" t="s">
        <v>635</v>
      </c>
    </row>
    <row r="225" spans="1:22">
      <c r="A225" s="5" t="s">
        <v>108</v>
      </c>
      <c r="B225" s="6">
        <v>46009</v>
      </c>
      <c r="C225" s="6" t="s">
        <v>41</v>
      </c>
      <c r="D225" s="218">
        <v>703</v>
      </c>
      <c r="E225" s="10" t="s">
        <v>92</v>
      </c>
      <c r="F225" s="5" t="s">
        <v>386</v>
      </c>
      <c r="G225" s="225">
        <v>44711104000180</v>
      </c>
      <c r="H225" s="39">
        <v>16173</v>
      </c>
      <c r="I225" s="36">
        <v>46074</v>
      </c>
      <c r="J225" s="221" t="s">
        <v>91</v>
      </c>
      <c r="K225" s="218" t="s">
        <v>81</v>
      </c>
      <c r="L225" s="219">
        <v>46027</v>
      </c>
      <c r="M225" s="218" t="str">
        <f>IF(Tabela4[[#This Row],[RECOMPRADO]]="RECEBIDO","LIQUIDADO",IF(O225="LIQUIDADO","LIQUIDADO",IF(I225&lt;$I$5,"VENCIDO","A VENCER")))</f>
        <v>LIQUIDADO</v>
      </c>
      <c r="N225" s="222" t="str">
        <f>IF(Tabela4[[#This Row],[STATUS]]="LIQUIDADO","",Tabela4[[#This Row],[VCTO]]-$I$5)</f>
        <v/>
      </c>
      <c r="O225" s="218" t="s">
        <v>86</v>
      </c>
      <c r="P225" s="219"/>
      <c r="Q225" s="218"/>
      <c r="R225" s="218"/>
      <c r="S225" s="218"/>
      <c r="T225" s="5" t="s">
        <v>481</v>
      </c>
      <c r="U225" s="5"/>
      <c r="V225" s="5"/>
    </row>
    <row r="226" spans="1:22">
      <c r="A226" s="5" t="s">
        <v>108</v>
      </c>
      <c r="B226" s="6">
        <v>46009</v>
      </c>
      <c r="C226" s="6" t="s">
        <v>41</v>
      </c>
      <c r="D226" s="218">
        <v>703</v>
      </c>
      <c r="E226" s="10" t="s">
        <v>95</v>
      </c>
      <c r="F226" s="5" t="s">
        <v>386</v>
      </c>
      <c r="G226" s="225">
        <v>44711104000180</v>
      </c>
      <c r="H226" s="39">
        <v>16173</v>
      </c>
      <c r="I226" s="36">
        <v>46081</v>
      </c>
      <c r="J226" s="221" t="s">
        <v>91</v>
      </c>
      <c r="K226" s="218" t="s">
        <v>81</v>
      </c>
      <c r="L226" s="219">
        <v>46027</v>
      </c>
      <c r="M226" s="218" t="str">
        <f>IF(Tabela4[[#This Row],[RECOMPRADO]]="RECEBIDO","LIQUIDADO",IF(O226="LIQUIDADO","LIQUIDADO",IF(I226&lt;$I$5,"VENCIDO","A VENCER")))</f>
        <v>LIQUIDADO</v>
      </c>
      <c r="N226" s="222" t="str">
        <f>IF(Tabela4[[#This Row],[STATUS]]="LIQUIDADO","",Tabela4[[#This Row],[VCTO]]-$I$5)</f>
        <v/>
      </c>
      <c r="O226" s="218" t="s">
        <v>86</v>
      </c>
      <c r="P226" s="219"/>
      <c r="Q226" s="218"/>
      <c r="R226" s="218"/>
      <c r="S226" s="218"/>
      <c r="T226" s="5" t="s">
        <v>482</v>
      </c>
      <c r="U226" s="5"/>
      <c r="V226" s="5"/>
    </row>
    <row r="227" spans="1:22">
      <c r="A227" s="5" t="s">
        <v>108</v>
      </c>
      <c r="B227" s="6">
        <v>46009</v>
      </c>
      <c r="C227" s="6" t="s">
        <v>41</v>
      </c>
      <c r="D227" s="218">
        <v>703</v>
      </c>
      <c r="E227" s="10" t="s">
        <v>96</v>
      </c>
      <c r="F227" s="5" t="s">
        <v>386</v>
      </c>
      <c r="G227" s="225">
        <v>44711104000180</v>
      </c>
      <c r="H227" s="39">
        <v>16173</v>
      </c>
      <c r="I227" s="36">
        <v>46088</v>
      </c>
      <c r="J227" s="221" t="s">
        <v>91</v>
      </c>
      <c r="K227" s="218" t="s">
        <v>81</v>
      </c>
      <c r="L227" s="219">
        <v>46027</v>
      </c>
      <c r="M227" s="218" t="str">
        <f>IF(Tabela4[[#This Row],[RECOMPRADO]]="RECEBIDO","LIQUIDADO",IF(O227="LIQUIDADO","LIQUIDADO",IF(I227&lt;$I$5,"VENCIDO","A VENCER")))</f>
        <v>LIQUIDADO</v>
      </c>
      <c r="N227" s="222" t="str">
        <f>IF(Tabela4[[#This Row],[STATUS]]="LIQUIDADO","",Tabela4[[#This Row],[VCTO]]-$I$5)</f>
        <v/>
      </c>
      <c r="O227" s="218" t="s">
        <v>86</v>
      </c>
      <c r="P227" s="219"/>
      <c r="Q227" s="218"/>
      <c r="R227" s="218"/>
      <c r="S227" s="218"/>
      <c r="T227" s="5" t="s">
        <v>608</v>
      </c>
      <c r="U227" s="5"/>
      <c r="V227" s="5"/>
    </row>
    <row r="228" spans="1:22">
      <c r="A228" s="5" t="s">
        <v>7</v>
      </c>
      <c r="B228" s="6">
        <v>46009</v>
      </c>
      <c r="C228" s="6" t="s">
        <v>41</v>
      </c>
      <c r="D228" s="218">
        <v>4281</v>
      </c>
      <c r="E228" s="10" t="s">
        <v>97</v>
      </c>
      <c r="F228" s="5" t="s">
        <v>10</v>
      </c>
      <c r="G228" s="225" t="s">
        <v>71</v>
      </c>
      <c r="H228" s="39">
        <v>1114.24</v>
      </c>
      <c r="I228" s="233">
        <v>46058</v>
      </c>
      <c r="J228" s="221" t="s">
        <v>91</v>
      </c>
      <c r="K228" s="218" t="s">
        <v>77</v>
      </c>
      <c r="L228" s="219">
        <v>46030</v>
      </c>
      <c r="M228" s="218" t="str">
        <f>IF(Tabela4[[#This Row],[RECOMPRADO]]="RECEBIDO","LIQUIDADO",IF(O228="LIQUIDADO","LIQUIDADO",IF(I228&lt;$I$5,"VENCIDO","A VENCER")))</f>
        <v>LIQUIDADO</v>
      </c>
      <c r="N228" s="222" t="str">
        <f>IF(Tabela4[[#This Row],[STATUS]]="LIQUIDADO","",Tabela4[[#This Row],[VCTO]]-$I$5)</f>
        <v/>
      </c>
      <c r="O228" s="218" t="s">
        <v>86</v>
      </c>
      <c r="P228" s="219"/>
      <c r="Q228" s="218"/>
      <c r="R228" s="218"/>
      <c r="S228" s="218"/>
      <c r="T228" s="5" t="s">
        <v>474</v>
      </c>
      <c r="U228" s="5"/>
      <c r="V228" s="5"/>
    </row>
    <row r="229" spans="1:22">
      <c r="A229" s="5" t="s">
        <v>7</v>
      </c>
      <c r="B229" s="6">
        <v>46009</v>
      </c>
      <c r="C229" s="6" t="s">
        <v>41</v>
      </c>
      <c r="D229" s="218">
        <v>4281</v>
      </c>
      <c r="E229" s="10" t="s">
        <v>98</v>
      </c>
      <c r="F229" s="5" t="s">
        <v>10</v>
      </c>
      <c r="G229" s="225" t="s">
        <v>71</v>
      </c>
      <c r="H229" s="39">
        <v>1114.24</v>
      </c>
      <c r="I229" s="233">
        <v>46065</v>
      </c>
      <c r="J229" s="221" t="s">
        <v>91</v>
      </c>
      <c r="K229" s="218" t="s">
        <v>77</v>
      </c>
      <c r="L229" s="219">
        <v>46030</v>
      </c>
      <c r="M229" s="218" t="str">
        <f>IF(Tabela4[[#This Row],[RECOMPRADO]]="RECEBIDO","LIQUIDADO",IF(O229="LIQUIDADO","LIQUIDADO",IF(I229&lt;$I$5,"VENCIDO","A VENCER")))</f>
        <v>LIQUIDADO</v>
      </c>
      <c r="N229" s="222" t="str">
        <f>IF(Tabela4[[#This Row],[STATUS]]="LIQUIDADO","",Tabela4[[#This Row],[VCTO]]-$I$5)</f>
        <v/>
      </c>
      <c r="O229" s="218" t="s">
        <v>86</v>
      </c>
      <c r="P229" s="219"/>
      <c r="Q229" s="218"/>
      <c r="R229" s="218"/>
      <c r="S229" s="218"/>
      <c r="T229" s="218"/>
      <c r="U229" s="218"/>
      <c r="V229" s="5"/>
    </row>
    <row r="230" spans="1:22">
      <c r="A230" s="218" t="s">
        <v>0</v>
      </c>
      <c r="B230" s="219">
        <v>46010</v>
      </c>
      <c r="C230" s="6" t="s">
        <v>43</v>
      </c>
      <c r="D230" s="218">
        <v>262</v>
      </c>
      <c r="E230" s="10" t="s">
        <v>92</v>
      </c>
      <c r="F230" s="6" t="s">
        <v>301</v>
      </c>
      <c r="G230" s="225">
        <v>20891953000102</v>
      </c>
      <c r="H230" s="39">
        <v>7725</v>
      </c>
      <c r="I230" s="238">
        <v>46070</v>
      </c>
      <c r="J230" s="221" t="s">
        <v>91</v>
      </c>
      <c r="K230" s="218" t="s">
        <v>77</v>
      </c>
      <c r="L230" s="219">
        <v>46030</v>
      </c>
      <c r="M230" s="218" t="str">
        <f>IF(Tabela4[[#This Row],[RECOMPRADO]]="RECEBIDO","LIQUIDADO",IF(O230="LIQUIDADO","LIQUIDADO",IF(I230&lt;$I$5,"VENCIDO","A VENCER")))</f>
        <v>LIQUIDADO</v>
      </c>
      <c r="N230" s="222" t="str">
        <f>IF(Tabela4[[#This Row],[STATUS]]="LIQUIDADO","",Tabela4[[#This Row],[VCTO]]-$I$5)</f>
        <v/>
      </c>
      <c r="O230" s="218" t="s">
        <v>86</v>
      </c>
      <c r="P230" s="219"/>
      <c r="Q230" s="218"/>
      <c r="R230" s="218"/>
      <c r="S230" s="218"/>
      <c r="T230" s="218"/>
      <c r="U230" s="218"/>
      <c r="V230" s="5"/>
    </row>
    <row r="231" spans="1:22">
      <c r="A231" s="218" t="s">
        <v>0</v>
      </c>
      <c r="B231" s="219">
        <v>46010</v>
      </c>
      <c r="C231" s="6" t="s">
        <v>41</v>
      </c>
      <c r="D231" s="218">
        <v>249</v>
      </c>
      <c r="E231" s="10" t="s">
        <v>95</v>
      </c>
      <c r="F231" s="5" t="s">
        <v>333</v>
      </c>
      <c r="G231" s="225" t="s">
        <v>363</v>
      </c>
      <c r="H231" s="39">
        <v>1061.67</v>
      </c>
      <c r="I231" s="233">
        <v>46054</v>
      </c>
      <c r="J231" s="221" t="s">
        <v>91</v>
      </c>
      <c r="K231" s="218" t="s">
        <v>77</v>
      </c>
      <c r="L231" s="219">
        <v>46030</v>
      </c>
      <c r="M231" s="218" t="str">
        <f>IF(Tabela4[[#This Row],[RECOMPRADO]]="RECEBIDO","LIQUIDADO",IF(O231="LIQUIDADO","LIQUIDADO",IF(I231&lt;$I$5,"VENCIDO","A VENCER")))</f>
        <v>LIQUIDADO</v>
      </c>
      <c r="N231" s="222" t="str">
        <f>IF(Tabela4[[#This Row],[STATUS]]="LIQUIDADO","",Tabela4[[#This Row],[VCTO]]-$I$5)</f>
        <v/>
      </c>
      <c r="O231" s="218" t="s">
        <v>86</v>
      </c>
      <c r="P231" s="219"/>
      <c r="Q231" s="218"/>
      <c r="R231" s="218"/>
      <c r="S231" s="218"/>
      <c r="T231" s="218"/>
      <c r="U231" s="218"/>
      <c r="V231" s="5"/>
    </row>
    <row r="232" spans="1:22">
      <c r="A232" s="218" t="s">
        <v>0</v>
      </c>
      <c r="B232" s="219">
        <v>46010</v>
      </c>
      <c r="C232" s="6" t="s">
        <v>43</v>
      </c>
      <c r="D232" s="218">
        <v>249</v>
      </c>
      <c r="E232" s="10" t="s">
        <v>95</v>
      </c>
      <c r="F232" s="5" t="s">
        <v>333</v>
      </c>
      <c r="G232" s="225" t="s">
        <v>363</v>
      </c>
      <c r="H232" s="39">
        <v>1061.67</v>
      </c>
      <c r="I232" s="233">
        <v>46054</v>
      </c>
      <c r="J232" s="221" t="s">
        <v>91</v>
      </c>
      <c r="K232" s="218" t="s">
        <v>77</v>
      </c>
      <c r="L232" s="219">
        <v>46030</v>
      </c>
      <c r="M232" s="218" t="str">
        <f>IF(Tabela4[[#This Row],[RECOMPRADO]]="RECEBIDO","LIQUIDADO",IF(O232="LIQUIDADO","LIQUIDADO",IF(I232&lt;$I$5,"VENCIDO","A VENCER")))</f>
        <v>LIQUIDADO</v>
      </c>
      <c r="N232" s="222" t="str">
        <f>IF(Tabela4[[#This Row],[STATUS]]="LIQUIDADO","",Tabela4[[#This Row],[VCTO]]-$I$5)</f>
        <v/>
      </c>
      <c r="O232" s="218" t="s">
        <v>86</v>
      </c>
      <c r="P232" s="219"/>
      <c r="Q232" s="218"/>
      <c r="R232" s="218"/>
      <c r="S232" s="218"/>
      <c r="T232" s="5" t="s">
        <v>502</v>
      </c>
      <c r="U232" s="5"/>
      <c r="V232" s="5"/>
    </row>
    <row r="233" spans="1:22">
      <c r="A233" s="255" t="s">
        <v>0</v>
      </c>
      <c r="B233" s="256">
        <v>46010</v>
      </c>
      <c r="C233" s="256" t="s">
        <v>41</v>
      </c>
      <c r="D233" s="255">
        <v>249</v>
      </c>
      <c r="E233" s="10" t="s">
        <v>96</v>
      </c>
      <c r="F233" s="5" t="s">
        <v>333</v>
      </c>
      <c r="G233" s="225" t="s">
        <v>363</v>
      </c>
      <c r="H233" s="39">
        <v>1061.67</v>
      </c>
      <c r="I233" s="252">
        <v>46069</v>
      </c>
      <c r="J233" s="221" t="s">
        <v>91</v>
      </c>
      <c r="K233" s="255" t="s">
        <v>77</v>
      </c>
      <c r="L233" s="219">
        <v>46030</v>
      </c>
      <c r="M233" s="255" t="str">
        <f>IF(Tabela4[[#This Row],[RECOMPRADO]]="RECEBIDO","LIQUIDADO",IF(O233="LIQUIDADO","LIQUIDADO",IF(I233&lt;$I$5,"VENCIDO","A VENCER")))</f>
        <v>LIQUIDADO</v>
      </c>
      <c r="N233" s="261" t="str">
        <f>IF(Tabela4[[#This Row],[STATUS]]="LIQUIDADO","",Tabela4[[#This Row],[VCTO]]-$I$5)</f>
        <v/>
      </c>
      <c r="O233" s="255" t="s">
        <v>86</v>
      </c>
      <c r="P233" s="256"/>
      <c r="Q233" s="255"/>
      <c r="R233" s="255"/>
      <c r="S233" s="255"/>
      <c r="T233" s="5" t="s">
        <v>502</v>
      </c>
      <c r="U233" s="5"/>
      <c r="V233" s="5"/>
    </row>
    <row r="234" spans="1:22">
      <c r="A234" s="255" t="s">
        <v>0</v>
      </c>
      <c r="B234" s="256">
        <v>46010</v>
      </c>
      <c r="C234" s="256" t="s">
        <v>43</v>
      </c>
      <c r="D234" s="255">
        <v>249</v>
      </c>
      <c r="E234" s="10" t="s">
        <v>96</v>
      </c>
      <c r="F234" s="5" t="s">
        <v>333</v>
      </c>
      <c r="G234" s="225" t="s">
        <v>363</v>
      </c>
      <c r="H234" s="39">
        <v>1061.67</v>
      </c>
      <c r="I234" s="252">
        <v>46069</v>
      </c>
      <c r="J234" s="221" t="s">
        <v>91</v>
      </c>
      <c r="K234" s="255" t="s">
        <v>77</v>
      </c>
      <c r="L234" s="219">
        <v>46030</v>
      </c>
      <c r="M234" s="255" t="str">
        <f>IF(Tabela4[[#This Row],[RECOMPRADO]]="RECEBIDO","LIQUIDADO",IF(O234="LIQUIDADO","LIQUIDADO",IF(I234&lt;$I$5,"VENCIDO","A VENCER")))</f>
        <v>LIQUIDADO</v>
      </c>
      <c r="N234" s="261" t="str">
        <f>IF(Tabela4[[#This Row],[STATUS]]="LIQUIDADO","",Tabela4[[#This Row],[VCTO]]-$I$5)</f>
        <v/>
      </c>
      <c r="O234" s="255" t="s">
        <v>86</v>
      </c>
      <c r="P234" s="256"/>
      <c r="Q234" s="255"/>
      <c r="R234" s="255"/>
      <c r="S234" s="255"/>
      <c r="T234" s="5" t="s">
        <v>502</v>
      </c>
      <c r="U234" s="5"/>
      <c r="V234" s="5"/>
    </row>
    <row r="235" spans="1:22">
      <c r="A235" s="5" t="s">
        <v>108</v>
      </c>
      <c r="B235" s="6">
        <v>46013</v>
      </c>
      <c r="C235" s="6" t="s">
        <v>41</v>
      </c>
      <c r="D235" s="5">
        <v>705</v>
      </c>
      <c r="E235" s="10" t="s">
        <v>95</v>
      </c>
      <c r="F235" s="5" t="s">
        <v>12</v>
      </c>
      <c r="G235" s="225">
        <v>58246059000144</v>
      </c>
      <c r="H235" s="39">
        <v>3044</v>
      </c>
      <c r="I235" s="36">
        <v>46048</v>
      </c>
      <c r="J235" s="7" t="s">
        <v>91</v>
      </c>
      <c r="K235" s="218" t="s">
        <v>75</v>
      </c>
      <c r="L235" s="6">
        <v>46048</v>
      </c>
      <c r="M235" s="5" t="str">
        <f>IF(Tabela4[[#This Row],[RECOMPRADO]]="RECEBIDO","LIQUIDADO",IF(O235="LIQUIDADO","LIQUIDADO",IF(I235&lt;$I$5,"VENCIDO","A VENCER")))</f>
        <v>LIQUIDADO</v>
      </c>
      <c r="N235" s="211" t="str">
        <f>IF(Tabela4[[#This Row],[STATUS]]="LIQUIDADO","",Tabela4[[#This Row],[VCTO]]-$I$5)</f>
        <v/>
      </c>
      <c r="O235" s="5" t="s">
        <v>86</v>
      </c>
      <c r="P235" s="6"/>
      <c r="Q235" s="5"/>
      <c r="R235" s="5"/>
      <c r="S235" s="5"/>
      <c r="T235" s="5"/>
      <c r="U235" s="5"/>
      <c r="V235" s="5"/>
    </row>
    <row r="236" spans="1:22">
      <c r="A236" s="5" t="s">
        <v>108</v>
      </c>
      <c r="B236" s="6">
        <v>46013</v>
      </c>
      <c r="C236" s="6" t="s">
        <v>41</v>
      </c>
      <c r="D236" s="218">
        <v>705</v>
      </c>
      <c r="E236" s="10" t="s">
        <v>92</v>
      </c>
      <c r="F236" s="5" t="s">
        <v>12</v>
      </c>
      <c r="G236" s="225">
        <v>58246059000144</v>
      </c>
      <c r="H236" s="39">
        <v>4424.76</v>
      </c>
      <c r="I236" s="233">
        <v>46041</v>
      </c>
      <c r="J236" s="221" t="s">
        <v>91</v>
      </c>
      <c r="K236" s="218" t="s">
        <v>75</v>
      </c>
      <c r="L236" s="6">
        <v>46048</v>
      </c>
      <c r="M236" s="218" t="str">
        <f>IF(Tabela4[[#This Row],[RECOMPRADO]]="RECEBIDO","LIQUIDADO",IF(O236="LIQUIDADO","LIQUIDADO",IF(I236&lt;$I$5,"VENCIDO","A VENCER")))</f>
        <v>LIQUIDADO</v>
      </c>
      <c r="N236" s="222" t="str">
        <f>IF(Tabela4[[#This Row],[STATUS]]="LIQUIDADO","",Tabela4[[#This Row],[VCTO]]-$I$5)</f>
        <v/>
      </c>
      <c r="O236" s="218" t="s">
        <v>86</v>
      </c>
      <c r="P236" s="219"/>
      <c r="Q236" s="218"/>
      <c r="R236" s="218"/>
      <c r="S236" s="218"/>
      <c r="T236" s="218"/>
      <c r="U236" s="218"/>
      <c r="V236" s="5"/>
    </row>
    <row r="237" spans="1:22">
      <c r="A237" s="5" t="s">
        <v>108</v>
      </c>
      <c r="B237" s="6">
        <v>46013</v>
      </c>
      <c r="C237" s="6" t="s">
        <v>41</v>
      </c>
      <c r="D237" s="218">
        <v>705</v>
      </c>
      <c r="E237" s="263" t="s">
        <v>96</v>
      </c>
      <c r="F237" s="5" t="s">
        <v>12</v>
      </c>
      <c r="G237" s="225">
        <v>58246059000144</v>
      </c>
      <c r="H237" s="39">
        <v>3044</v>
      </c>
      <c r="I237" s="233">
        <v>46055</v>
      </c>
      <c r="J237" s="221" t="s">
        <v>91</v>
      </c>
      <c r="K237" s="218" t="s">
        <v>75</v>
      </c>
      <c r="L237" s="6">
        <v>46048</v>
      </c>
      <c r="M237" s="218" t="str">
        <f>IF(Tabela4[[#This Row],[RECOMPRADO]]="RECEBIDO","LIQUIDADO",IF(O237="LIQUIDADO","LIQUIDADO",IF(I237&lt;$I$5,"VENCIDO","A VENCER")))</f>
        <v>LIQUIDADO</v>
      </c>
      <c r="N237" s="222" t="str">
        <f>IF(Tabela4[[#This Row],[STATUS]]="LIQUIDADO","",Tabela4[[#This Row],[VCTO]]-$I$5)</f>
        <v/>
      </c>
      <c r="O237" s="218" t="s">
        <v>86</v>
      </c>
      <c r="P237" s="219"/>
      <c r="Q237" s="218"/>
      <c r="R237" s="218"/>
      <c r="S237" s="218" t="s">
        <v>151</v>
      </c>
      <c r="T237" s="26" t="s">
        <v>515</v>
      </c>
      <c r="U237" s="26"/>
      <c r="V237" s="5"/>
    </row>
    <row r="238" spans="1:22">
      <c r="A238" s="5" t="s">
        <v>108</v>
      </c>
      <c r="B238" s="6">
        <v>46013</v>
      </c>
      <c r="C238" s="6" t="s">
        <v>41</v>
      </c>
      <c r="D238" s="218">
        <v>705</v>
      </c>
      <c r="E238" s="10" t="s">
        <v>97</v>
      </c>
      <c r="F238" s="5" t="s">
        <v>12</v>
      </c>
      <c r="G238" s="225">
        <v>58246059000144</v>
      </c>
      <c r="H238" s="39">
        <v>3044</v>
      </c>
      <c r="I238" s="233">
        <v>46062</v>
      </c>
      <c r="J238" s="221" t="s">
        <v>91</v>
      </c>
      <c r="K238" s="218" t="s">
        <v>75</v>
      </c>
      <c r="L238" s="6">
        <v>46048</v>
      </c>
      <c r="M238" s="223" t="str">
        <f>IF(Tabela4[[#This Row],[RECOMPRADO]]="RECEBIDO","LIQUIDADO",IF(O238="LIQUIDADO","LIQUIDADO",IF(I238&lt;$I$5,"VENCIDO","A VENCER")))</f>
        <v>LIQUIDADO</v>
      </c>
      <c r="N238" s="226" t="str">
        <f>IF(Tabela4[[#This Row],[STATUS]]="LIQUIDADO","",Tabela4[[#This Row],[VCTO]]-$I$5)</f>
        <v/>
      </c>
      <c r="O238" s="223" t="s">
        <v>86</v>
      </c>
      <c r="P238" s="224"/>
      <c r="Q238" s="223"/>
      <c r="R238" s="223"/>
      <c r="S238" s="223"/>
      <c r="T238" s="223"/>
      <c r="U238" s="223"/>
      <c r="V238" s="5"/>
    </row>
    <row r="239" spans="1:22">
      <c r="A239" s="26" t="s">
        <v>108</v>
      </c>
      <c r="B239" s="11">
        <v>46013</v>
      </c>
      <c r="C239" s="11" t="s">
        <v>41</v>
      </c>
      <c r="D239" s="223">
        <v>705</v>
      </c>
      <c r="E239" s="263" t="s">
        <v>98</v>
      </c>
      <c r="F239" s="26" t="s">
        <v>12</v>
      </c>
      <c r="G239" s="225">
        <v>58246059000144</v>
      </c>
      <c r="H239" s="39">
        <v>3044</v>
      </c>
      <c r="I239" s="232">
        <v>46069</v>
      </c>
      <c r="J239" s="221" t="s">
        <v>91</v>
      </c>
      <c r="K239" s="218" t="s">
        <v>75</v>
      </c>
      <c r="L239" s="6">
        <v>46048</v>
      </c>
      <c r="M239" s="223" t="str">
        <f>IF(Tabela4[[#This Row],[RECOMPRADO]]="RECEBIDO","LIQUIDADO",IF(O239="LIQUIDADO","LIQUIDADO",IF(I239&lt;$I$5,"VENCIDO","A VENCER")))</f>
        <v>LIQUIDADO</v>
      </c>
      <c r="N239" s="226" t="str">
        <f>IF(Tabela4[[#This Row],[STATUS]]="LIQUIDADO","",Tabela4[[#This Row],[VCTO]]-$I$5)</f>
        <v/>
      </c>
      <c r="O239" s="223" t="s">
        <v>86</v>
      </c>
      <c r="P239" s="224"/>
      <c r="Q239" s="223"/>
      <c r="R239" s="223"/>
      <c r="S239" s="223"/>
      <c r="T239" s="26" t="s">
        <v>516</v>
      </c>
      <c r="U239" s="26"/>
      <c r="V239" s="5"/>
    </row>
    <row r="240" spans="1:22">
      <c r="A240" s="223" t="s">
        <v>108</v>
      </c>
      <c r="B240" s="224">
        <v>46013</v>
      </c>
      <c r="C240" s="224" t="s">
        <v>41</v>
      </c>
      <c r="D240" s="223">
        <v>705</v>
      </c>
      <c r="E240" s="10" t="s">
        <v>99</v>
      </c>
      <c r="F240" s="26" t="s">
        <v>12</v>
      </c>
      <c r="G240" s="225">
        <v>58246059000144</v>
      </c>
      <c r="H240" s="39">
        <v>3044</v>
      </c>
      <c r="I240" s="232">
        <v>46076</v>
      </c>
      <c r="J240" s="221" t="s">
        <v>91</v>
      </c>
      <c r="K240" s="218" t="s">
        <v>75</v>
      </c>
      <c r="L240" s="6">
        <v>46048</v>
      </c>
      <c r="M240" s="223" t="str">
        <f>IF(Tabela4[[#This Row],[RECOMPRADO]]="RECEBIDO","LIQUIDADO",IF(O240="LIQUIDADO","LIQUIDADO",IF(I240&lt;$I$5,"VENCIDO","A VENCER")))</f>
        <v>LIQUIDADO</v>
      </c>
      <c r="N240" s="226" t="str">
        <f>IF(Tabela4[[#This Row],[STATUS]]="LIQUIDADO","",Tabela4[[#This Row],[VCTO]]-$I$5)</f>
        <v/>
      </c>
      <c r="O240" s="223" t="s">
        <v>86</v>
      </c>
      <c r="P240" s="224"/>
      <c r="Q240" s="223"/>
      <c r="R240" s="223"/>
      <c r="S240" s="223"/>
      <c r="T240" s="26" t="s">
        <v>523</v>
      </c>
      <c r="U240" s="26"/>
      <c r="V240" s="5"/>
    </row>
    <row r="241" spans="1:22">
      <c r="A241" s="26" t="s">
        <v>108</v>
      </c>
      <c r="B241" s="11">
        <v>46027</v>
      </c>
      <c r="C241" s="11" t="s">
        <v>41</v>
      </c>
      <c r="D241" s="26">
        <v>676</v>
      </c>
      <c r="E241" s="10" t="s">
        <v>97</v>
      </c>
      <c r="F241" s="26" t="s">
        <v>112</v>
      </c>
      <c r="G241" s="225" t="s">
        <v>145</v>
      </c>
      <c r="H241" s="39">
        <v>1962.5</v>
      </c>
      <c r="I241" s="216">
        <v>46048</v>
      </c>
      <c r="J241" s="7" t="s">
        <v>91</v>
      </c>
      <c r="K241" s="218" t="s">
        <v>76</v>
      </c>
      <c r="L241" s="6">
        <v>46037</v>
      </c>
      <c r="M241" s="26" t="str">
        <f>IF(Tabela4[[#This Row],[RECOMPRADO]]="RECEBIDO","LIQUIDADO",IF(O241="LIQUIDADO","LIQUIDADO",IF(I241&lt;$I$5,"VENCIDO","A VENCER")))</f>
        <v>LIQUIDADO</v>
      </c>
      <c r="N241" s="212" t="str">
        <f>IF(Tabela4[[#This Row],[STATUS]]="LIQUIDADO","",Tabela4[[#This Row],[VCTO]]-$I$5)</f>
        <v/>
      </c>
      <c r="O241" s="26" t="s">
        <v>86</v>
      </c>
      <c r="P241" s="11"/>
      <c r="Q241" s="26"/>
      <c r="R241" s="26"/>
      <c r="S241" s="26"/>
      <c r="T241" s="26"/>
      <c r="U241" s="26"/>
      <c r="V241" s="5"/>
    </row>
    <row r="242" spans="1:22">
      <c r="A242" s="26" t="s">
        <v>108</v>
      </c>
      <c r="B242" s="11">
        <v>46027</v>
      </c>
      <c r="C242" s="11" t="s">
        <v>41</v>
      </c>
      <c r="D242" s="26">
        <v>699</v>
      </c>
      <c r="E242" s="10" t="s">
        <v>92</v>
      </c>
      <c r="F242" s="26" t="s">
        <v>0</v>
      </c>
      <c r="G242" s="225" t="s">
        <v>142</v>
      </c>
      <c r="H242" s="39">
        <v>500000</v>
      </c>
      <c r="I242" s="216">
        <v>46055</v>
      </c>
      <c r="J242" s="7" t="s">
        <v>91</v>
      </c>
      <c r="K242" s="218" t="s">
        <v>76</v>
      </c>
      <c r="L242" s="6">
        <v>46037</v>
      </c>
      <c r="M242" s="26" t="str">
        <f>IF(Tabela4[[#This Row],[RECOMPRADO]]="RECEBIDO","LIQUIDADO",IF(O242="LIQUIDADO","LIQUIDADO",IF(I242&lt;$I$5,"VENCIDO","A VENCER")))</f>
        <v>LIQUIDADO</v>
      </c>
      <c r="N242" s="212" t="str">
        <f>IF(Tabela4[[#This Row],[STATUS]]="LIQUIDADO","",Tabela4[[#This Row],[VCTO]]-$I$5)</f>
        <v/>
      </c>
      <c r="O242" s="26" t="s">
        <v>86</v>
      </c>
      <c r="P242" s="11"/>
      <c r="Q242" s="26"/>
      <c r="R242" s="26"/>
      <c r="S242" s="26"/>
      <c r="T242" s="26"/>
      <c r="U242" s="26"/>
      <c r="V242" s="5"/>
    </row>
    <row r="243" spans="1:22">
      <c r="A243" s="26" t="s">
        <v>0</v>
      </c>
      <c r="B243" s="11">
        <v>46027</v>
      </c>
      <c r="C243" s="11" t="s">
        <v>41</v>
      </c>
      <c r="D243" s="26">
        <v>264</v>
      </c>
      <c r="E243" s="10" t="s">
        <v>92</v>
      </c>
      <c r="F243" s="26" t="s">
        <v>1</v>
      </c>
      <c r="G243" s="225" t="s">
        <v>47</v>
      </c>
      <c r="H243" s="39">
        <v>5370.5</v>
      </c>
      <c r="I243" s="216">
        <v>46044</v>
      </c>
      <c r="J243" s="7" t="s">
        <v>91</v>
      </c>
      <c r="K243" s="218" t="s">
        <v>75</v>
      </c>
      <c r="L243" s="6">
        <v>46044</v>
      </c>
      <c r="M243" s="26" t="str">
        <f>IF(Tabela4[[#This Row],[RECOMPRADO]]="RECEBIDO","LIQUIDADO",IF(O243="LIQUIDADO","LIQUIDADO",IF(I243&lt;$I$5,"VENCIDO","A VENCER")))</f>
        <v>LIQUIDADO</v>
      </c>
      <c r="N243" s="212" t="str">
        <f>IF(Tabela4[[#This Row],[STATUS]]="LIQUIDADO","",Tabela4[[#This Row],[VCTO]]-$I$5)</f>
        <v/>
      </c>
      <c r="O243" s="26" t="s">
        <v>86</v>
      </c>
      <c r="P243" s="11"/>
      <c r="Q243" s="26"/>
      <c r="R243" s="26"/>
      <c r="S243" s="26"/>
      <c r="T243" s="26"/>
      <c r="U243" s="26"/>
      <c r="V243" s="5"/>
    </row>
    <row r="244" spans="1:22">
      <c r="A244" s="26" t="s">
        <v>0</v>
      </c>
      <c r="B244" s="11">
        <v>46027</v>
      </c>
      <c r="C244" s="11" t="s">
        <v>41</v>
      </c>
      <c r="D244" s="26">
        <v>265</v>
      </c>
      <c r="E244" s="10" t="s">
        <v>92</v>
      </c>
      <c r="F244" s="26" t="s">
        <v>2</v>
      </c>
      <c r="G244" s="225" t="s">
        <v>48</v>
      </c>
      <c r="H244" s="39">
        <v>1250</v>
      </c>
      <c r="I244" s="216">
        <v>46060</v>
      </c>
      <c r="J244" s="7" t="s">
        <v>91</v>
      </c>
      <c r="K244" s="218" t="s">
        <v>75</v>
      </c>
      <c r="L244" s="6">
        <v>46027</v>
      </c>
      <c r="M244" s="26" t="str">
        <f>IF(Tabela4[[#This Row],[RECOMPRADO]]="RECEBIDO","LIQUIDADO",IF(O244="LIQUIDADO","LIQUIDADO",IF(I244&lt;$I$5,"VENCIDO","A VENCER")))</f>
        <v>LIQUIDADO</v>
      </c>
      <c r="N244" s="212" t="str">
        <f>IF(Tabela4[[#This Row],[STATUS]]="LIQUIDADO","",Tabela4[[#This Row],[VCTO]]-$I$5)</f>
        <v/>
      </c>
      <c r="O244" s="26" t="s">
        <v>86</v>
      </c>
      <c r="P244" s="11"/>
      <c r="Q244" s="26"/>
      <c r="R244" s="26"/>
      <c r="S244" s="26"/>
      <c r="T244" s="26"/>
      <c r="U244" s="26"/>
      <c r="V244" s="5"/>
    </row>
    <row r="245" spans="1:22">
      <c r="A245" s="26" t="s">
        <v>0</v>
      </c>
      <c r="B245" s="11">
        <f>B244</f>
        <v>46027</v>
      </c>
      <c r="C245" s="11" t="str">
        <f>C244</f>
        <v>NF</v>
      </c>
      <c r="D245" s="26">
        <v>265</v>
      </c>
      <c r="E245" s="10" t="s">
        <v>95</v>
      </c>
      <c r="F245" s="26" t="s">
        <v>2</v>
      </c>
      <c r="G245" s="225" t="s">
        <v>48</v>
      </c>
      <c r="H245" s="39">
        <v>1250</v>
      </c>
      <c r="I245" s="216">
        <v>46075</v>
      </c>
      <c r="J245" s="7" t="s">
        <v>91</v>
      </c>
      <c r="K245" s="218" t="s">
        <v>75</v>
      </c>
      <c r="L245" s="6">
        <v>46027</v>
      </c>
      <c r="M245" s="26" t="str">
        <f>IF(Tabela4[[#This Row],[RECOMPRADO]]="RECEBIDO","LIQUIDADO",IF(O245="LIQUIDADO","LIQUIDADO",IF(I245&lt;$I$5,"VENCIDO","A VENCER")))</f>
        <v>LIQUIDADO</v>
      </c>
      <c r="N245" s="212" t="str">
        <f>IF(Tabela4[[#This Row],[STATUS]]="LIQUIDADO","",Tabela4[[#This Row],[VCTO]]-$I$5)</f>
        <v/>
      </c>
      <c r="O245" s="26" t="s">
        <v>86</v>
      </c>
      <c r="P245" s="11"/>
      <c r="Q245" s="26"/>
      <c r="R245" s="26"/>
      <c r="S245" s="26"/>
      <c r="T245" s="26"/>
      <c r="U245" s="26"/>
      <c r="V245" s="5"/>
    </row>
    <row r="246" spans="1:22">
      <c r="A246" s="26" t="s">
        <v>0</v>
      </c>
      <c r="B246" s="11">
        <f>B245</f>
        <v>46027</v>
      </c>
      <c r="C246" s="11" t="str">
        <f>C245</f>
        <v>NF</v>
      </c>
      <c r="D246" s="26">
        <v>265</v>
      </c>
      <c r="E246" s="35" t="s">
        <v>96</v>
      </c>
      <c r="F246" s="26" t="s">
        <v>2</v>
      </c>
      <c r="G246" s="225" t="s">
        <v>48</v>
      </c>
      <c r="H246" s="39">
        <v>1250</v>
      </c>
      <c r="I246" s="216">
        <v>46090</v>
      </c>
      <c r="J246" s="7" t="s">
        <v>91</v>
      </c>
      <c r="K246" s="218" t="s">
        <v>75</v>
      </c>
      <c r="L246" s="6">
        <v>46027</v>
      </c>
      <c r="M246" s="26" t="str">
        <f>IF(Tabela4[[#This Row],[RECOMPRADO]]="RECEBIDO","LIQUIDADO",IF(O246="LIQUIDADO","LIQUIDADO",IF(I246&lt;$I$5,"VENCIDO","A VENCER")))</f>
        <v>LIQUIDADO</v>
      </c>
      <c r="N246" s="212" t="str">
        <f>IF(Tabela4[[#This Row],[STATUS]]="LIQUIDADO","",Tabela4[[#This Row],[VCTO]]-$I$5)</f>
        <v/>
      </c>
      <c r="O246" s="26" t="s">
        <v>86</v>
      </c>
      <c r="P246" s="11"/>
      <c r="Q246" s="26"/>
      <c r="R246" s="26"/>
      <c r="S246" s="26"/>
      <c r="T246" s="26"/>
      <c r="U246" s="26"/>
      <c r="V246" s="5"/>
    </row>
    <row r="247" spans="1:22">
      <c r="A247" s="26" t="s">
        <v>0</v>
      </c>
      <c r="B247" s="11">
        <v>46027</v>
      </c>
      <c r="C247" s="11" t="s">
        <v>43</v>
      </c>
      <c r="D247" s="26">
        <v>265</v>
      </c>
      <c r="E247" s="35" t="s">
        <v>92</v>
      </c>
      <c r="F247" s="26" t="s">
        <v>2</v>
      </c>
      <c r="G247" s="225" t="s">
        <v>48</v>
      </c>
      <c r="H247" s="39">
        <v>1250</v>
      </c>
      <c r="I247" s="216">
        <v>46060</v>
      </c>
      <c r="J247" s="7" t="s">
        <v>91</v>
      </c>
      <c r="K247" s="218" t="s">
        <v>77</v>
      </c>
      <c r="L247" s="6">
        <v>46037</v>
      </c>
      <c r="M247" s="26" t="str">
        <f>IF(Tabela4[[#This Row],[RECOMPRADO]]="RECEBIDO","LIQUIDADO",IF(O247="LIQUIDADO","LIQUIDADO",IF(I247&lt;$I$5,"VENCIDO","A VENCER")))</f>
        <v>LIQUIDADO</v>
      </c>
      <c r="N247" s="212" t="str">
        <f>IF(Tabela4[[#This Row],[STATUS]]="LIQUIDADO","",Tabela4[[#This Row],[VCTO]]-$I$5)</f>
        <v/>
      </c>
      <c r="O247" s="26" t="s">
        <v>86</v>
      </c>
      <c r="P247" s="11"/>
      <c r="Q247" s="26"/>
      <c r="R247" s="26"/>
      <c r="S247" s="26"/>
      <c r="T247" s="26" t="s">
        <v>475</v>
      </c>
      <c r="U247" s="26"/>
      <c r="V247" s="5"/>
    </row>
    <row r="248" spans="1:22">
      <c r="A248" s="26" t="s">
        <v>0</v>
      </c>
      <c r="B248" s="11">
        <f>B247</f>
        <v>46027</v>
      </c>
      <c r="C248" s="11" t="s">
        <v>43</v>
      </c>
      <c r="D248" s="26">
        <v>265</v>
      </c>
      <c r="E248" s="35" t="s">
        <v>95</v>
      </c>
      <c r="F248" s="26" t="s">
        <v>2</v>
      </c>
      <c r="G248" s="225" t="s">
        <v>48</v>
      </c>
      <c r="H248" s="39">
        <v>1250</v>
      </c>
      <c r="I248" s="216">
        <v>46075</v>
      </c>
      <c r="J248" s="7" t="s">
        <v>91</v>
      </c>
      <c r="K248" s="218" t="s">
        <v>77</v>
      </c>
      <c r="L248" s="6">
        <v>46037</v>
      </c>
      <c r="M248" s="26" t="str">
        <f>IF(Tabela4[[#This Row],[RECOMPRADO]]="RECEBIDO","LIQUIDADO",IF(O248="LIQUIDADO","LIQUIDADO",IF(I248&lt;$I$5,"VENCIDO","A VENCER")))</f>
        <v>LIQUIDADO</v>
      </c>
      <c r="N248" s="212" t="str">
        <f>IF(Tabela4[[#This Row],[STATUS]]="LIQUIDADO","",Tabela4[[#This Row],[VCTO]]-$I$5)</f>
        <v/>
      </c>
      <c r="O248" s="26" t="s">
        <v>86</v>
      </c>
      <c r="P248" s="11"/>
      <c r="Q248" s="26"/>
      <c r="R248" s="26"/>
      <c r="S248" s="26"/>
      <c r="T248" s="26" t="s">
        <v>518</v>
      </c>
      <c r="U248" s="26"/>
      <c r="V248" s="5"/>
    </row>
    <row r="249" spans="1:22">
      <c r="A249" s="26" t="s">
        <v>0</v>
      </c>
      <c r="B249" s="11">
        <f>B248</f>
        <v>46027</v>
      </c>
      <c r="C249" s="11" t="s">
        <v>43</v>
      </c>
      <c r="D249" s="26">
        <v>265</v>
      </c>
      <c r="E249" s="35" t="s">
        <v>96</v>
      </c>
      <c r="F249" s="26" t="s">
        <v>2</v>
      </c>
      <c r="G249" s="225" t="s">
        <v>48</v>
      </c>
      <c r="H249" s="39">
        <v>1250</v>
      </c>
      <c r="I249" s="216">
        <v>46090</v>
      </c>
      <c r="J249" s="7" t="s">
        <v>91</v>
      </c>
      <c r="K249" s="218" t="s">
        <v>77</v>
      </c>
      <c r="L249" s="6">
        <v>46037</v>
      </c>
      <c r="M249" s="26" t="str">
        <f>IF(Tabela4[[#This Row],[RECOMPRADO]]="RECEBIDO","LIQUIDADO",IF(O249="LIQUIDADO","LIQUIDADO",IF(I249&lt;$I$5,"VENCIDO","A VENCER")))</f>
        <v>LIQUIDADO</v>
      </c>
      <c r="N249" s="212" t="str">
        <f>IF(Tabela4[[#This Row],[STATUS]]="LIQUIDADO","",Tabela4[[#This Row],[VCTO]]-$I$5)</f>
        <v/>
      </c>
      <c r="O249" s="26" t="s">
        <v>86</v>
      </c>
      <c r="P249" s="11"/>
      <c r="Q249" s="26"/>
      <c r="R249" s="26"/>
      <c r="S249" s="26"/>
      <c r="T249" s="26"/>
      <c r="U249" s="26"/>
      <c r="V249" s="5"/>
    </row>
    <row r="250" spans="1:22">
      <c r="A250" s="26" t="s">
        <v>0</v>
      </c>
      <c r="B250" s="11">
        <v>46027</v>
      </c>
      <c r="C250" s="11" t="s">
        <v>41</v>
      </c>
      <c r="D250" s="26">
        <v>266</v>
      </c>
      <c r="E250" s="35" t="s">
        <v>92</v>
      </c>
      <c r="F250" s="26" t="s">
        <v>538</v>
      </c>
      <c r="G250" s="225" t="s">
        <v>46</v>
      </c>
      <c r="H250" s="39">
        <v>515</v>
      </c>
      <c r="I250" s="216">
        <v>46058</v>
      </c>
      <c r="J250" s="7" t="s">
        <v>91</v>
      </c>
      <c r="K250" s="218" t="s">
        <v>75</v>
      </c>
      <c r="L250" s="6">
        <v>46027</v>
      </c>
      <c r="M250" s="26" t="str">
        <f>IF(Tabela4[[#This Row],[RECOMPRADO]]="RECEBIDO","LIQUIDADO",IF(O250="LIQUIDADO","LIQUIDADO",IF(I250&lt;$I$5,"VENCIDO","A VENCER")))</f>
        <v>LIQUIDADO</v>
      </c>
      <c r="N250" s="212" t="str">
        <f>IF(Tabela4[[#This Row],[STATUS]]="LIQUIDADO","",Tabela4[[#This Row],[VCTO]]-$I$5)</f>
        <v/>
      </c>
      <c r="O250" s="26" t="s">
        <v>86</v>
      </c>
      <c r="P250" s="11"/>
      <c r="Q250" s="26"/>
      <c r="R250" s="26"/>
      <c r="S250" s="26"/>
      <c r="T250" s="5"/>
      <c r="U250" s="5"/>
      <c r="V250" s="5"/>
    </row>
    <row r="251" spans="1:22">
      <c r="A251" s="26" t="s">
        <v>0</v>
      </c>
      <c r="B251" s="11">
        <f>B250</f>
        <v>46027</v>
      </c>
      <c r="C251" s="11" t="s">
        <v>41</v>
      </c>
      <c r="D251" s="26">
        <v>266</v>
      </c>
      <c r="E251" s="35" t="s">
        <v>95</v>
      </c>
      <c r="F251" s="26" t="s">
        <v>538</v>
      </c>
      <c r="G251" s="225" t="s">
        <v>46</v>
      </c>
      <c r="H251" s="39">
        <v>515</v>
      </c>
      <c r="I251" s="216">
        <v>46065</v>
      </c>
      <c r="J251" s="7" t="s">
        <v>91</v>
      </c>
      <c r="K251" s="218" t="s">
        <v>75</v>
      </c>
      <c r="L251" s="6">
        <v>46027</v>
      </c>
      <c r="M251" s="26" t="str">
        <f>IF(Tabela4[[#This Row],[RECOMPRADO]]="RECEBIDO","LIQUIDADO",IF(O251="LIQUIDADO","LIQUIDADO",IF(I251&lt;$I$5,"VENCIDO","A VENCER")))</f>
        <v>LIQUIDADO</v>
      </c>
      <c r="N251" s="212" t="str">
        <f>IF(Tabela4[[#This Row],[STATUS]]="LIQUIDADO","",Tabela4[[#This Row],[VCTO]]-$I$5)</f>
        <v/>
      </c>
      <c r="O251" s="26" t="s">
        <v>86</v>
      </c>
      <c r="P251" s="11"/>
      <c r="Q251" s="26"/>
      <c r="R251" s="26"/>
      <c r="S251" s="26"/>
      <c r="T251" s="26" t="s">
        <v>499</v>
      </c>
      <c r="U251" s="26"/>
      <c r="V251" s="5"/>
    </row>
    <row r="252" spans="1:22">
      <c r="A252" s="26" t="s">
        <v>0</v>
      </c>
      <c r="B252" s="11">
        <f>B251</f>
        <v>46027</v>
      </c>
      <c r="C252" s="11" t="s">
        <v>41</v>
      </c>
      <c r="D252" s="26">
        <v>266</v>
      </c>
      <c r="E252" s="35" t="s">
        <v>96</v>
      </c>
      <c r="F252" s="26" t="s">
        <v>538</v>
      </c>
      <c r="G252" s="225" t="s">
        <v>46</v>
      </c>
      <c r="H252" s="39">
        <v>515</v>
      </c>
      <c r="I252" s="216">
        <v>46072</v>
      </c>
      <c r="J252" s="7" t="s">
        <v>91</v>
      </c>
      <c r="K252" s="218" t="s">
        <v>75</v>
      </c>
      <c r="L252" s="6">
        <v>46027</v>
      </c>
      <c r="M252" s="26" t="str">
        <f>IF(Tabela4[[#This Row],[RECOMPRADO]]="RECEBIDO","LIQUIDADO",IF(O252="LIQUIDADO","LIQUIDADO",IF(I252&lt;$I$5,"VENCIDO","A VENCER")))</f>
        <v>LIQUIDADO</v>
      </c>
      <c r="N252" s="212" t="str">
        <f>IF(Tabela4[[#This Row],[STATUS]]="LIQUIDADO","",Tabela4[[#This Row],[VCTO]]-$I$5)</f>
        <v/>
      </c>
      <c r="O252" s="26" t="s">
        <v>86</v>
      </c>
      <c r="P252" s="11"/>
      <c r="Q252" s="26"/>
      <c r="R252" s="26"/>
      <c r="S252" s="26"/>
      <c r="T252" s="26" t="s">
        <v>504</v>
      </c>
      <c r="U252" s="26"/>
      <c r="V252" s="5"/>
    </row>
    <row r="253" spans="1:22">
      <c r="A253" s="26" t="s">
        <v>0</v>
      </c>
      <c r="B253" s="11">
        <f>B252</f>
        <v>46027</v>
      </c>
      <c r="C253" s="11" t="s">
        <v>41</v>
      </c>
      <c r="D253" s="26">
        <v>266</v>
      </c>
      <c r="E253" s="35" t="s">
        <v>97</v>
      </c>
      <c r="F253" s="26" t="s">
        <v>538</v>
      </c>
      <c r="G253" s="225" t="s">
        <v>46</v>
      </c>
      <c r="H253" s="39">
        <v>515</v>
      </c>
      <c r="I253" s="216">
        <v>46079</v>
      </c>
      <c r="J253" s="7" t="s">
        <v>91</v>
      </c>
      <c r="K253" s="218" t="s">
        <v>75</v>
      </c>
      <c r="L253" s="6">
        <v>46027</v>
      </c>
      <c r="M253" s="26" t="str">
        <f>IF(Tabela4[[#This Row],[RECOMPRADO]]="RECEBIDO","LIQUIDADO",IF(O253="LIQUIDADO","LIQUIDADO",IF(I253&lt;$I$5,"VENCIDO","A VENCER")))</f>
        <v>LIQUIDADO</v>
      </c>
      <c r="N253" s="212" t="str">
        <f>IF(Tabela4[[#This Row],[STATUS]]="LIQUIDADO","",Tabela4[[#This Row],[VCTO]]-$I$5)</f>
        <v/>
      </c>
      <c r="O253" s="26" t="s">
        <v>86</v>
      </c>
      <c r="P253" s="11"/>
      <c r="Q253" s="26"/>
      <c r="R253" s="26"/>
      <c r="S253" s="26" t="s">
        <v>151</v>
      </c>
      <c r="T253" s="26" t="s">
        <v>600</v>
      </c>
      <c r="U253" s="26"/>
      <c r="V253" s="5"/>
    </row>
    <row r="254" spans="1:22">
      <c r="A254" s="26" t="s">
        <v>0</v>
      </c>
      <c r="B254" s="11">
        <f>B253</f>
        <v>46027</v>
      </c>
      <c r="C254" s="11" t="s">
        <v>41</v>
      </c>
      <c r="D254" s="26">
        <v>266</v>
      </c>
      <c r="E254" s="35" t="s">
        <v>98</v>
      </c>
      <c r="F254" s="26" t="s">
        <v>538</v>
      </c>
      <c r="G254" s="225" t="s">
        <v>46</v>
      </c>
      <c r="H254" s="39">
        <v>515</v>
      </c>
      <c r="I254" s="216">
        <v>46086</v>
      </c>
      <c r="J254" s="7" t="s">
        <v>91</v>
      </c>
      <c r="K254" s="218" t="s">
        <v>75</v>
      </c>
      <c r="L254" s="6">
        <v>46027</v>
      </c>
      <c r="M254" s="26" t="str">
        <f>IF(Tabela4[[#This Row],[RECOMPRADO]]="RECEBIDO","LIQUIDADO",IF(O254="LIQUIDADO","LIQUIDADO",IF(I254&lt;$I$5,"VENCIDO","A VENCER")))</f>
        <v>LIQUIDADO</v>
      </c>
      <c r="N254" s="212" t="str">
        <f>IF(Tabela4[[#This Row],[STATUS]]="LIQUIDADO","",Tabela4[[#This Row],[VCTO]]-$I$5)</f>
        <v/>
      </c>
      <c r="O254" s="26" t="s">
        <v>86</v>
      </c>
      <c r="P254" s="11"/>
      <c r="Q254" s="26"/>
      <c r="R254" s="26"/>
      <c r="S254" s="26"/>
      <c r="T254" s="26" t="s">
        <v>586</v>
      </c>
      <c r="U254" s="26"/>
      <c r="V254" s="5"/>
    </row>
    <row r="255" spans="1:22">
      <c r="A255" s="26" t="s">
        <v>0</v>
      </c>
      <c r="B255" s="11">
        <v>46027</v>
      </c>
      <c r="C255" s="11" t="s">
        <v>43</v>
      </c>
      <c r="D255" s="26">
        <v>266</v>
      </c>
      <c r="E255" s="10" t="s">
        <v>92</v>
      </c>
      <c r="F255" s="26" t="s">
        <v>479</v>
      </c>
      <c r="G255" s="225" t="s">
        <v>46</v>
      </c>
      <c r="H255" s="39">
        <v>515</v>
      </c>
      <c r="I255" s="216">
        <v>46058</v>
      </c>
      <c r="J255" s="7" t="s">
        <v>91</v>
      </c>
      <c r="K255" s="218" t="s">
        <v>77</v>
      </c>
      <c r="L255" s="6">
        <v>46037</v>
      </c>
      <c r="M255" s="26" t="str">
        <f>IF(Tabela4[[#This Row],[RECOMPRADO]]="RECEBIDO","LIQUIDADO",IF(O255="LIQUIDADO","LIQUIDADO",IF(I255&lt;$I$5,"VENCIDO","A VENCER")))</f>
        <v>LIQUIDADO</v>
      </c>
      <c r="N255" s="212" t="str">
        <f>IF(Tabela4[[#This Row],[STATUS]]="LIQUIDADO","",Tabela4[[#This Row],[VCTO]]-$I$5)</f>
        <v/>
      </c>
      <c r="O255" s="26" t="s">
        <v>86</v>
      </c>
      <c r="P255" s="11"/>
      <c r="Q255" s="26"/>
      <c r="R255" s="26"/>
      <c r="S255" s="26"/>
      <c r="T255" s="5" t="s">
        <v>499</v>
      </c>
      <c r="U255" s="5"/>
      <c r="V255" s="5"/>
    </row>
    <row r="256" spans="1:22">
      <c r="A256" s="26" t="s">
        <v>0</v>
      </c>
      <c r="B256" s="11">
        <f>B255</f>
        <v>46027</v>
      </c>
      <c r="C256" s="11" t="s">
        <v>43</v>
      </c>
      <c r="D256" s="26">
        <v>266</v>
      </c>
      <c r="E256" s="10" t="s">
        <v>95</v>
      </c>
      <c r="F256" s="26" t="s">
        <v>479</v>
      </c>
      <c r="G256" s="225" t="s">
        <v>46</v>
      </c>
      <c r="H256" s="39">
        <v>515</v>
      </c>
      <c r="I256" s="216">
        <v>46065</v>
      </c>
      <c r="J256" s="7" t="s">
        <v>91</v>
      </c>
      <c r="K256" s="218" t="s">
        <v>77</v>
      </c>
      <c r="L256" s="6">
        <v>46037</v>
      </c>
      <c r="M256" s="26" t="str">
        <f>IF(Tabela4[[#This Row],[RECOMPRADO]]="RECEBIDO","LIQUIDADO",IF(O256="LIQUIDADO","LIQUIDADO",IF(I256&lt;$I$5,"VENCIDO","A VENCER")))</f>
        <v>LIQUIDADO</v>
      </c>
      <c r="N256" s="212" t="str">
        <f>IF(Tabela4[[#This Row],[STATUS]]="LIQUIDADO","",Tabela4[[#This Row],[VCTO]]-$I$5)</f>
        <v/>
      </c>
      <c r="O256" s="26" t="s">
        <v>86</v>
      </c>
      <c r="P256" s="11"/>
      <c r="Q256" s="26"/>
      <c r="R256" s="26"/>
      <c r="S256" s="26"/>
      <c r="T256" s="26" t="s">
        <v>499</v>
      </c>
      <c r="U256" s="26"/>
      <c r="V256" s="5"/>
    </row>
    <row r="257" spans="1:22">
      <c r="A257" s="26" t="s">
        <v>0</v>
      </c>
      <c r="B257" s="11">
        <f>B256</f>
        <v>46027</v>
      </c>
      <c r="C257" s="11" t="s">
        <v>43</v>
      </c>
      <c r="D257" s="26">
        <v>266</v>
      </c>
      <c r="E257" s="10" t="s">
        <v>96</v>
      </c>
      <c r="F257" s="26" t="s">
        <v>479</v>
      </c>
      <c r="G257" s="225" t="s">
        <v>46</v>
      </c>
      <c r="H257" s="39">
        <v>515</v>
      </c>
      <c r="I257" s="216">
        <v>46072</v>
      </c>
      <c r="J257" s="7" t="s">
        <v>91</v>
      </c>
      <c r="K257" s="218" t="s">
        <v>77</v>
      </c>
      <c r="L257" s="6">
        <v>46037</v>
      </c>
      <c r="M257" s="26" t="str">
        <f>IF(Tabela4[[#This Row],[RECOMPRADO]]="RECEBIDO","LIQUIDADO",IF(O257="LIQUIDADO","LIQUIDADO",IF(I257&lt;$I$5,"VENCIDO","A VENCER")))</f>
        <v>LIQUIDADO</v>
      </c>
      <c r="N257" s="212" t="str">
        <f>IF(Tabela4[[#This Row],[STATUS]]="LIQUIDADO","",Tabela4[[#This Row],[VCTO]]-$I$5)</f>
        <v/>
      </c>
      <c r="O257" s="5" t="s">
        <v>86</v>
      </c>
      <c r="P257" s="11"/>
      <c r="Q257" s="26"/>
      <c r="R257" s="26"/>
      <c r="S257" s="26"/>
      <c r="T257" s="26" t="s">
        <v>505</v>
      </c>
      <c r="U257" s="26"/>
      <c r="V257" s="5"/>
    </row>
    <row r="258" spans="1:22">
      <c r="A258" s="26" t="s">
        <v>0</v>
      </c>
      <c r="B258" s="11">
        <f>B257</f>
        <v>46027</v>
      </c>
      <c r="C258" s="11" t="s">
        <v>43</v>
      </c>
      <c r="D258" s="26">
        <v>266</v>
      </c>
      <c r="E258" s="10" t="s">
        <v>97</v>
      </c>
      <c r="F258" s="26" t="s">
        <v>479</v>
      </c>
      <c r="G258" s="225" t="s">
        <v>46</v>
      </c>
      <c r="H258" s="39">
        <v>515</v>
      </c>
      <c r="I258" s="216">
        <v>46079</v>
      </c>
      <c r="J258" s="7" t="s">
        <v>91</v>
      </c>
      <c r="K258" s="218" t="s">
        <v>77</v>
      </c>
      <c r="L258" s="6">
        <v>46037</v>
      </c>
      <c r="M258" s="26" t="str">
        <f>IF(Tabela4[[#This Row],[RECOMPRADO]]="RECEBIDO","LIQUIDADO",IF(O258="LIQUIDADO","LIQUIDADO",IF(I258&lt;$I$5,"VENCIDO","A VENCER")))</f>
        <v>LIQUIDADO</v>
      </c>
      <c r="N258" s="212" t="str">
        <f>IF(Tabela4[[#This Row],[STATUS]]="LIQUIDADO","",Tabela4[[#This Row],[VCTO]]-$I$5)</f>
        <v/>
      </c>
      <c r="O258" s="5" t="s">
        <v>86</v>
      </c>
      <c r="P258" s="11"/>
      <c r="Q258" s="26"/>
      <c r="R258" s="26"/>
      <c r="S258" s="26"/>
      <c r="T258" s="26" t="s">
        <v>539</v>
      </c>
      <c r="U258" s="26"/>
      <c r="V258" s="5"/>
    </row>
    <row r="259" spans="1:22">
      <c r="A259" s="26" t="s">
        <v>0</v>
      </c>
      <c r="B259" s="11">
        <f>B258</f>
        <v>46027</v>
      </c>
      <c r="C259" s="11" t="s">
        <v>43</v>
      </c>
      <c r="D259" s="26">
        <v>266</v>
      </c>
      <c r="E259" s="10" t="s">
        <v>98</v>
      </c>
      <c r="F259" s="26" t="s">
        <v>479</v>
      </c>
      <c r="G259" s="225" t="s">
        <v>46</v>
      </c>
      <c r="H259" s="39">
        <v>515</v>
      </c>
      <c r="I259" s="216">
        <v>46086</v>
      </c>
      <c r="J259" s="7" t="s">
        <v>91</v>
      </c>
      <c r="K259" s="218" t="s">
        <v>77</v>
      </c>
      <c r="L259" s="6">
        <v>46037</v>
      </c>
      <c r="M259" s="26" t="str">
        <f>IF(Tabela4[[#This Row],[RECOMPRADO]]="RECEBIDO","LIQUIDADO",IF(O259="LIQUIDADO","LIQUIDADO",IF(I259&lt;$I$5,"VENCIDO","A VENCER")))</f>
        <v>LIQUIDADO</v>
      </c>
      <c r="N259" s="212" t="str">
        <f>IF(Tabela4[[#This Row],[STATUS]]="LIQUIDADO","",Tabela4[[#This Row],[VCTO]]-$I$5)</f>
        <v/>
      </c>
      <c r="O259" s="26" t="s">
        <v>86</v>
      </c>
      <c r="P259" s="11"/>
      <c r="Q259" s="26"/>
      <c r="R259" s="26"/>
      <c r="S259" s="26"/>
      <c r="T259" s="26" t="s">
        <v>609</v>
      </c>
      <c r="U259" s="26"/>
      <c r="V259" s="5"/>
    </row>
    <row r="260" spans="1:22">
      <c r="A260" s="26" t="s">
        <v>0</v>
      </c>
      <c r="B260" s="11">
        <v>46027</v>
      </c>
      <c r="C260" s="11" t="s">
        <v>41</v>
      </c>
      <c r="D260" s="26">
        <v>267</v>
      </c>
      <c r="E260" s="10" t="s">
        <v>92</v>
      </c>
      <c r="F260" s="26" t="s">
        <v>3</v>
      </c>
      <c r="G260" s="225" t="s">
        <v>49</v>
      </c>
      <c r="H260" s="39">
        <v>1492.5</v>
      </c>
      <c r="I260" s="216">
        <v>46052</v>
      </c>
      <c r="J260" s="7" t="s">
        <v>91</v>
      </c>
      <c r="K260" s="218" t="s">
        <v>75</v>
      </c>
      <c r="L260" s="6">
        <v>46027</v>
      </c>
      <c r="M260" s="26" t="str">
        <f>IF(Tabela4[[#This Row],[RECOMPRADO]]="RECEBIDO","LIQUIDADO",IF(O260="LIQUIDADO","LIQUIDADO",IF(I260&lt;$I$5,"VENCIDO","A VENCER")))</f>
        <v>LIQUIDADO</v>
      </c>
      <c r="N260" s="212" t="str">
        <f>IF(Tabela4[[#This Row],[STATUS]]="LIQUIDADO","",Tabela4[[#This Row],[VCTO]]-$I$5)</f>
        <v/>
      </c>
      <c r="O260" s="26" t="s">
        <v>86</v>
      </c>
      <c r="P260" s="11"/>
      <c r="Q260" s="26"/>
      <c r="R260" s="26"/>
      <c r="S260" s="26"/>
      <c r="T260" s="26"/>
      <c r="U260" s="26"/>
      <c r="V260" s="5"/>
    </row>
    <row r="261" spans="1:22">
      <c r="A261" s="26" t="s">
        <v>0</v>
      </c>
      <c r="B261" s="11">
        <f>B260</f>
        <v>46027</v>
      </c>
      <c r="C261" s="11" t="s">
        <v>41</v>
      </c>
      <c r="D261" s="26">
        <v>267</v>
      </c>
      <c r="E261" s="10" t="s">
        <v>95</v>
      </c>
      <c r="F261" s="26" t="s">
        <v>3</v>
      </c>
      <c r="G261" s="225" t="s">
        <v>49</v>
      </c>
      <c r="H261" s="39">
        <v>1492.5</v>
      </c>
      <c r="I261" s="216">
        <v>46059</v>
      </c>
      <c r="J261" s="7" t="s">
        <v>91</v>
      </c>
      <c r="K261" s="218" t="s">
        <v>75</v>
      </c>
      <c r="L261" s="6">
        <v>46027</v>
      </c>
      <c r="M261" s="26" t="str">
        <f>IF(Tabela4[[#This Row],[RECOMPRADO]]="RECEBIDO","LIQUIDADO",IF(O261="LIQUIDADO","LIQUIDADO",IF(I261&lt;$I$5,"VENCIDO","A VENCER")))</f>
        <v>LIQUIDADO</v>
      </c>
      <c r="N261" s="212" t="str">
        <f>IF(Tabela4[[#This Row],[STATUS]]="LIQUIDADO","",Tabela4[[#This Row],[VCTO]]-$I$5)</f>
        <v/>
      </c>
      <c r="O261" s="26" t="s">
        <v>86</v>
      </c>
      <c r="P261" s="11"/>
      <c r="Q261" s="26"/>
      <c r="R261" s="26"/>
      <c r="S261" s="26"/>
      <c r="T261" s="26"/>
      <c r="U261" s="26"/>
      <c r="V261" s="5"/>
    </row>
    <row r="262" spans="1:22">
      <c r="A262" s="26" t="s">
        <v>0</v>
      </c>
      <c r="B262" s="11">
        <f>B261</f>
        <v>46027</v>
      </c>
      <c r="C262" s="11" t="s">
        <v>41</v>
      </c>
      <c r="D262" s="26">
        <v>267</v>
      </c>
      <c r="E262" s="10" t="s">
        <v>96</v>
      </c>
      <c r="F262" s="26" t="s">
        <v>3</v>
      </c>
      <c r="G262" s="225" t="s">
        <v>49</v>
      </c>
      <c r="H262" s="39">
        <v>1492.5</v>
      </c>
      <c r="I262" s="216">
        <v>46066</v>
      </c>
      <c r="J262" s="7" t="s">
        <v>91</v>
      </c>
      <c r="K262" s="218" t="s">
        <v>75</v>
      </c>
      <c r="L262" s="6">
        <v>46027</v>
      </c>
      <c r="M262" s="26" t="str">
        <f>IF(Tabela4[[#This Row],[RECOMPRADO]]="RECEBIDO","LIQUIDADO",IF(O262="LIQUIDADO","LIQUIDADO",IF(I262&lt;$I$5,"VENCIDO","A VENCER")))</f>
        <v>LIQUIDADO</v>
      </c>
      <c r="N262" s="212" t="str">
        <f>IF(Tabela4[[#This Row],[STATUS]]="LIQUIDADO","",Tabela4[[#This Row],[VCTO]]-$I$5)</f>
        <v/>
      </c>
      <c r="O262" s="26" t="s">
        <v>86</v>
      </c>
      <c r="P262" s="11"/>
      <c r="Q262" s="26"/>
      <c r="R262" s="26"/>
      <c r="S262" s="26"/>
      <c r="T262" s="26"/>
      <c r="U262" s="26"/>
      <c r="V262" s="5"/>
    </row>
    <row r="263" spans="1:22">
      <c r="A263" s="26" t="s">
        <v>0</v>
      </c>
      <c r="B263" s="11">
        <f>B262</f>
        <v>46027</v>
      </c>
      <c r="C263" s="11" t="s">
        <v>41</v>
      </c>
      <c r="D263" s="26">
        <v>267</v>
      </c>
      <c r="E263" s="10" t="s">
        <v>97</v>
      </c>
      <c r="F263" s="26" t="s">
        <v>3</v>
      </c>
      <c r="G263" s="225" t="s">
        <v>49</v>
      </c>
      <c r="H263" s="39">
        <v>1492.5</v>
      </c>
      <c r="I263" s="216">
        <v>46073</v>
      </c>
      <c r="J263" s="7" t="s">
        <v>91</v>
      </c>
      <c r="K263" s="218" t="s">
        <v>75</v>
      </c>
      <c r="L263" s="6">
        <v>46027</v>
      </c>
      <c r="M263" s="26" t="str">
        <f>IF(Tabela4[[#This Row],[RECOMPRADO]]="RECEBIDO","LIQUIDADO",IF(O263="LIQUIDADO","LIQUIDADO",IF(I263&lt;$I$5,"VENCIDO","A VENCER")))</f>
        <v>LIQUIDADO</v>
      </c>
      <c r="N263" s="212" t="str">
        <f>IF(Tabela4[[#This Row],[STATUS]]="LIQUIDADO","",Tabela4[[#This Row],[VCTO]]-$I$5)</f>
        <v/>
      </c>
      <c r="O263" s="5" t="s">
        <v>86</v>
      </c>
      <c r="P263" s="11"/>
      <c r="Q263" s="26"/>
      <c r="R263" s="26"/>
      <c r="S263" s="26"/>
      <c r="T263" s="26"/>
      <c r="U263" s="26"/>
      <c r="V263" s="5"/>
    </row>
    <row r="264" spans="1:22">
      <c r="A264" s="26" t="s">
        <v>0</v>
      </c>
      <c r="B264" s="11">
        <v>46027</v>
      </c>
      <c r="C264" s="11" t="s">
        <v>41</v>
      </c>
      <c r="D264" s="26">
        <v>268</v>
      </c>
      <c r="E264" s="10" t="s">
        <v>92</v>
      </c>
      <c r="F264" s="26" t="s">
        <v>4</v>
      </c>
      <c r="G264" s="225" t="s">
        <v>50</v>
      </c>
      <c r="H264" s="39">
        <v>1962</v>
      </c>
      <c r="I264" s="216">
        <v>46058</v>
      </c>
      <c r="J264" s="7" t="s">
        <v>91</v>
      </c>
      <c r="K264" s="218" t="s">
        <v>75</v>
      </c>
      <c r="L264" s="6">
        <v>46027</v>
      </c>
      <c r="M264" s="26" t="str">
        <f>IF(Tabela4[[#This Row],[RECOMPRADO]]="RECEBIDO","LIQUIDADO",IF(O264="LIQUIDADO","LIQUIDADO",IF(I264&lt;$I$5,"VENCIDO","A VENCER")))</f>
        <v>LIQUIDADO</v>
      </c>
      <c r="N264" s="212" t="str">
        <f>IF(Tabela4[[#This Row],[STATUS]]="LIQUIDADO","",Tabela4[[#This Row],[VCTO]]-$I$5)</f>
        <v/>
      </c>
      <c r="O264" s="5" t="s">
        <v>86</v>
      </c>
      <c r="P264" s="11"/>
      <c r="Q264" s="26"/>
      <c r="R264" s="26"/>
      <c r="S264" s="26" t="s">
        <v>151</v>
      </c>
      <c r="T264" s="26" t="s">
        <v>525</v>
      </c>
      <c r="U264" s="26"/>
      <c r="V264" s="5"/>
    </row>
    <row r="265" spans="1:22">
      <c r="A265" s="26" t="s">
        <v>0</v>
      </c>
      <c r="B265" s="11">
        <f>B264</f>
        <v>46027</v>
      </c>
      <c r="C265" s="11" t="s">
        <v>41</v>
      </c>
      <c r="D265" s="26">
        <v>268</v>
      </c>
      <c r="E265" s="10" t="s">
        <v>95</v>
      </c>
      <c r="F265" s="26" t="s">
        <v>4</v>
      </c>
      <c r="G265" s="225" t="s">
        <v>50</v>
      </c>
      <c r="H265" s="39">
        <v>1962</v>
      </c>
      <c r="I265" s="216">
        <v>46065</v>
      </c>
      <c r="J265" s="7" t="s">
        <v>91</v>
      </c>
      <c r="K265" s="218" t="s">
        <v>75</v>
      </c>
      <c r="L265" s="6">
        <v>46027</v>
      </c>
      <c r="M265" s="26" t="str">
        <f>IF(Tabela4[[#This Row],[RECOMPRADO]]="RECEBIDO","LIQUIDADO",IF(O265="LIQUIDADO","LIQUIDADO",IF(I265&lt;$I$5,"VENCIDO","A VENCER")))</f>
        <v>LIQUIDADO</v>
      </c>
      <c r="N265" s="212" t="str">
        <f>IF(Tabela4[[#This Row],[STATUS]]="LIQUIDADO","",Tabela4[[#This Row],[VCTO]]-$I$5)</f>
        <v/>
      </c>
      <c r="O265" s="26" t="s">
        <v>86</v>
      </c>
      <c r="P265" s="11"/>
      <c r="Q265" s="26"/>
      <c r="R265" s="26"/>
      <c r="S265" s="26" t="s">
        <v>151</v>
      </c>
      <c r="T265" s="26" t="s">
        <v>564</v>
      </c>
      <c r="U265" s="26"/>
      <c r="V265" s="5"/>
    </row>
    <row r="266" spans="1:22">
      <c r="A266" s="26" t="s">
        <v>0</v>
      </c>
      <c r="B266" s="11">
        <f>B265</f>
        <v>46027</v>
      </c>
      <c r="C266" s="11" t="s">
        <v>41</v>
      </c>
      <c r="D266" s="26">
        <v>268</v>
      </c>
      <c r="E266" s="10" t="s">
        <v>96</v>
      </c>
      <c r="F266" s="26" t="s">
        <v>4</v>
      </c>
      <c r="G266" s="225" t="s">
        <v>50</v>
      </c>
      <c r="H266" s="39">
        <v>1962</v>
      </c>
      <c r="I266" s="216">
        <v>46072</v>
      </c>
      <c r="J266" s="7" t="s">
        <v>91</v>
      </c>
      <c r="K266" s="218" t="s">
        <v>75</v>
      </c>
      <c r="L266" s="6">
        <v>46027</v>
      </c>
      <c r="M266" s="26" t="str">
        <f ca="1">IF(Tabela4[[#This Row],[RECOMPRADO]]="RECEBIDO","LIQUIDADO",IF(O266="LIQUIDADO","LIQUIDADO",IF(I266&lt;$I$5,"VENCIDO","A VENCER")))</f>
        <v>VENCIDO</v>
      </c>
      <c r="N266" s="212">
        <f ca="1">IF(Tabela4[[#This Row],[STATUS]]="LIQUIDADO","",Tabela4[[#This Row],[VCTO]]-$I$5)</f>
        <v>-26</v>
      </c>
      <c r="O266" s="26"/>
      <c r="P266" s="11"/>
      <c r="Q266" s="26"/>
      <c r="R266" s="26"/>
      <c r="S266" s="26" t="s">
        <v>151</v>
      </c>
      <c r="T266" s="26" t="s">
        <v>640</v>
      </c>
      <c r="U266" s="26"/>
      <c r="V266" s="5"/>
    </row>
    <row r="267" spans="1:22">
      <c r="A267" s="26" t="s">
        <v>0</v>
      </c>
      <c r="B267" s="11">
        <f>B266</f>
        <v>46027</v>
      </c>
      <c r="C267" s="11" t="s">
        <v>41</v>
      </c>
      <c r="D267" s="26">
        <v>268</v>
      </c>
      <c r="E267" s="10" t="s">
        <v>97</v>
      </c>
      <c r="F267" s="26" t="s">
        <v>4</v>
      </c>
      <c r="G267" s="225" t="s">
        <v>50</v>
      </c>
      <c r="H267" s="39">
        <v>1962</v>
      </c>
      <c r="I267" s="216">
        <v>46079</v>
      </c>
      <c r="J267" s="7" t="s">
        <v>91</v>
      </c>
      <c r="K267" s="218" t="s">
        <v>75</v>
      </c>
      <c r="L267" s="6">
        <v>46027</v>
      </c>
      <c r="M267" s="26" t="str">
        <f ca="1">IF(Tabela4[[#This Row],[RECOMPRADO]]="RECEBIDO","LIQUIDADO",IF(O267="LIQUIDADO","LIQUIDADO",IF(I267&lt;$I$5,"VENCIDO","A VENCER")))</f>
        <v>VENCIDO</v>
      </c>
      <c r="N267" s="212">
        <f ca="1">IF(Tabela4[[#This Row],[STATUS]]="LIQUIDADO","",Tabela4[[#This Row],[VCTO]]-$I$5)</f>
        <v>-19</v>
      </c>
      <c r="O267" s="5"/>
      <c r="P267" s="11"/>
      <c r="Q267" s="26"/>
      <c r="R267" s="26"/>
      <c r="S267" s="26" t="s">
        <v>151</v>
      </c>
      <c r="T267" s="26" t="s">
        <v>640</v>
      </c>
      <c r="U267" s="26"/>
      <c r="V267" s="5"/>
    </row>
    <row r="268" spans="1:22">
      <c r="A268" s="26" t="s">
        <v>0</v>
      </c>
      <c r="B268" s="11">
        <f>B267</f>
        <v>46027</v>
      </c>
      <c r="C268" s="11" t="s">
        <v>41</v>
      </c>
      <c r="D268" s="26">
        <v>268</v>
      </c>
      <c r="E268" s="10" t="s">
        <v>98</v>
      </c>
      <c r="F268" s="26" t="s">
        <v>4</v>
      </c>
      <c r="G268" s="215" t="s">
        <v>50</v>
      </c>
      <c r="H268" s="39">
        <v>1962</v>
      </c>
      <c r="I268" s="216">
        <v>46086</v>
      </c>
      <c r="J268" s="7" t="s">
        <v>91</v>
      </c>
      <c r="K268" s="218" t="s">
        <v>75</v>
      </c>
      <c r="L268" s="6">
        <v>46027</v>
      </c>
      <c r="M268" s="26" t="str">
        <f ca="1">IF(Tabela4[[#This Row],[RECOMPRADO]]="RECEBIDO","LIQUIDADO",IF(O268="LIQUIDADO","LIQUIDADO",IF(I268&lt;$I$5,"VENCIDO","A VENCER")))</f>
        <v>VENCIDO</v>
      </c>
      <c r="N268" s="212">
        <f ca="1">IF(Tabela4[[#This Row],[STATUS]]="LIQUIDADO","",Tabela4[[#This Row],[VCTO]]-$I$5)</f>
        <v>-12</v>
      </c>
      <c r="O268" s="26"/>
      <c r="P268" s="11"/>
      <c r="Q268" s="26"/>
      <c r="R268" s="26"/>
      <c r="S268" s="26" t="s">
        <v>151</v>
      </c>
      <c r="T268" s="26" t="s">
        <v>641</v>
      </c>
      <c r="U268" s="26"/>
      <c r="V268" s="5"/>
    </row>
    <row r="269" spans="1:22">
      <c r="A269" s="26" t="s">
        <v>0</v>
      </c>
      <c r="B269" s="11">
        <v>46027</v>
      </c>
      <c r="C269" s="11" t="s">
        <v>41</v>
      </c>
      <c r="D269" s="26">
        <v>269</v>
      </c>
      <c r="E269" s="10" t="s">
        <v>92</v>
      </c>
      <c r="F269" s="26" t="s">
        <v>5</v>
      </c>
      <c r="G269" s="225" t="s">
        <v>51</v>
      </c>
      <c r="H269" s="39">
        <v>3126.67</v>
      </c>
      <c r="I269" s="216">
        <v>46058</v>
      </c>
      <c r="J269" s="7" t="s">
        <v>91</v>
      </c>
      <c r="K269" s="218" t="s">
        <v>75</v>
      </c>
      <c r="L269" s="6">
        <v>46027</v>
      </c>
      <c r="M269" s="26" t="str">
        <f>IF(Tabela4[[#This Row],[RECOMPRADO]]="RECEBIDO","LIQUIDADO",IF(O269="LIQUIDADO","LIQUIDADO",IF(I269&lt;$I$5,"VENCIDO","A VENCER")))</f>
        <v>LIQUIDADO</v>
      </c>
      <c r="N269" s="212" t="str">
        <f>IF(Tabela4[[#This Row],[STATUS]]="LIQUIDADO","",Tabela4[[#This Row],[VCTO]]-$I$5)</f>
        <v/>
      </c>
      <c r="O269" s="26" t="s">
        <v>86</v>
      </c>
      <c r="P269" s="11"/>
      <c r="Q269" s="26"/>
      <c r="R269" s="26"/>
      <c r="S269" s="26"/>
      <c r="T269" s="26"/>
      <c r="U269" s="26"/>
      <c r="V269" s="5"/>
    </row>
    <row r="270" spans="1:22">
      <c r="A270" s="26" t="s">
        <v>0</v>
      </c>
      <c r="B270" s="11">
        <f>B269</f>
        <v>46027</v>
      </c>
      <c r="C270" s="11" t="s">
        <v>41</v>
      </c>
      <c r="D270" s="26">
        <v>269</v>
      </c>
      <c r="E270" s="10" t="s">
        <v>95</v>
      </c>
      <c r="F270" s="26" t="s">
        <v>5</v>
      </c>
      <c r="G270" s="225" t="s">
        <v>51</v>
      </c>
      <c r="H270" s="39">
        <v>3126.67</v>
      </c>
      <c r="I270" s="216">
        <v>46065</v>
      </c>
      <c r="J270" s="7" t="s">
        <v>91</v>
      </c>
      <c r="K270" s="5" t="s">
        <v>75</v>
      </c>
      <c r="L270" s="6">
        <v>46027</v>
      </c>
      <c r="M270" s="26" t="str">
        <f>IF(Tabela4[[#This Row],[RECOMPRADO]]="RECEBIDO","LIQUIDADO",IF(O270="LIQUIDADO","LIQUIDADO",IF(I270&lt;$I$5,"VENCIDO","A VENCER")))</f>
        <v>LIQUIDADO</v>
      </c>
      <c r="N270" s="212" t="str">
        <f>IF(Tabela4[[#This Row],[STATUS]]="LIQUIDADO","",Tabela4[[#This Row],[VCTO]]-$I$5)</f>
        <v/>
      </c>
      <c r="O270" s="26" t="s">
        <v>86</v>
      </c>
      <c r="P270" s="11"/>
      <c r="Q270" s="26"/>
      <c r="R270" s="26"/>
      <c r="S270" s="26"/>
      <c r="T270" s="26"/>
      <c r="U270" s="26"/>
      <c r="V270" s="5"/>
    </row>
    <row r="271" spans="1:22">
      <c r="A271" s="26" t="s">
        <v>0</v>
      </c>
      <c r="B271" s="11">
        <f>B270</f>
        <v>46027</v>
      </c>
      <c r="C271" s="11" t="s">
        <v>41</v>
      </c>
      <c r="D271" s="26">
        <v>269</v>
      </c>
      <c r="E271" s="10" t="s">
        <v>96</v>
      </c>
      <c r="F271" s="26" t="s">
        <v>5</v>
      </c>
      <c r="G271" s="225" t="s">
        <v>51</v>
      </c>
      <c r="H271" s="39">
        <v>3126.67</v>
      </c>
      <c r="I271" s="216">
        <v>46072</v>
      </c>
      <c r="J271" s="7" t="s">
        <v>91</v>
      </c>
      <c r="K271" s="5" t="s">
        <v>75</v>
      </c>
      <c r="L271" s="6">
        <v>46027</v>
      </c>
      <c r="M271" s="26" t="str">
        <f>IF(Tabela4[[#This Row],[RECOMPRADO]]="RECEBIDO","LIQUIDADO",IF(O271="LIQUIDADO","LIQUIDADO",IF(I271&lt;$I$5,"VENCIDO","A VENCER")))</f>
        <v>LIQUIDADO</v>
      </c>
      <c r="N271" s="212" t="str">
        <f>IF(Tabela4[[#This Row],[STATUS]]="LIQUIDADO","",Tabela4[[#This Row],[VCTO]]-$I$5)</f>
        <v/>
      </c>
      <c r="O271" s="26" t="s">
        <v>86</v>
      </c>
      <c r="P271" s="11"/>
      <c r="Q271" s="26"/>
      <c r="R271" s="26"/>
      <c r="S271" s="26"/>
      <c r="T271" s="26"/>
      <c r="U271" s="26"/>
      <c r="V271" s="5"/>
    </row>
    <row r="272" spans="1:22">
      <c r="A272" s="26" t="s">
        <v>0</v>
      </c>
      <c r="B272" s="11">
        <v>46027</v>
      </c>
      <c r="C272" s="11" t="s">
        <v>41</v>
      </c>
      <c r="D272" s="26">
        <v>270</v>
      </c>
      <c r="E272" s="10" t="s">
        <v>92</v>
      </c>
      <c r="F272" s="26" t="s">
        <v>6</v>
      </c>
      <c r="G272" s="225" t="s">
        <v>52</v>
      </c>
      <c r="H272" s="39">
        <v>2555.83</v>
      </c>
      <c r="I272" s="216">
        <v>46058</v>
      </c>
      <c r="J272" s="7" t="s">
        <v>91</v>
      </c>
      <c r="K272" s="5" t="s">
        <v>75</v>
      </c>
      <c r="L272" s="6">
        <v>46027</v>
      </c>
      <c r="M272" s="26" t="str">
        <f>IF(Tabela4[[#This Row],[RECOMPRADO]]="RECEBIDO","LIQUIDADO",IF(O272="LIQUIDADO","LIQUIDADO",IF(I272&lt;$I$5,"VENCIDO","A VENCER")))</f>
        <v>LIQUIDADO</v>
      </c>
      <c r="N272" s="212" t="str">
        <f>IF(Tabela4[[#This Row],[STATUS]]="LIQUIDADO","",Tabela4[[#This Row],[VCTO]]-$I$5)</f>
        <v/>
      </c>
      <c r="O272" s="5" t="s">
        <v>86</v>
      </c>
      <c r="P272" s="11"/>
      <c r="Q272" s="26"/>
      <c r="R272" s="26"/>
      <c r="S272" s="26"/>
      <c r="T272" s="26"/>
      <c r="U272" s="26"/>
      <c r="V272" s="5"/>
    </row>
    <row r="273" spans="1:22">
      <c r="A273" s="26" t="s">
        <v>0</v>
      </c>
      <c r="B273" s="11">
        <f>B272</f>
        <v>46027</v>
      </c>
      <c r="C273" s="11" t="s">
        <v>41</v>
      </c>
      <c r="D273" s="26">
        <v>270</v>
      </c>
      <c r="E273" s="10" t="s">
        <v>95</v>
      </c>
      <c r="F273" s="26" t="s">
        <v>6</v>
      </c>
      <c r="G273" s="225" t="s">
        <v>52</v>
      </c>
      <c r="H273" s="39">
        <v>2083.33</v>
      </c>
      <c r="I273" s="216">
        <v>46065</v>
      </c>
      <c r="J273" s="7" t="s">
        <v>91</v>
      </c>
      <c r="K273" s="5" t="s">
        <v>75</v>
      </c>
      <c r="L273" s="6">
        <v>46027</v>
      </c>
      <c r="M273" s="26" t="str">
        <f>IF(Tabela4[[#This Row],[RECOMPRADO]]="RECEBIDO","LIQUIDADO",IF(O273="LIQUIDADO","LIQUIDADO",IF(I273&lt;$I$5,"VENCIDO","A VENCER")))</f>
        <v>LIQUIDADO</v>
      </c>
      <c r="N273" s="212" t="str">
        <f>IF(Tabela4[[#This Row],[STATUS]]="LIQUIDADO","",Tabela4[[#This Row],[VCTO]]-$I$5)</f>
        <v/>
      </c>
      <c r="O273" s="26" t="s">
        <v>86</v>
      </c>
      <c r="P273" s="11"/>
      <c r="Q273" s="26"/>
      <c r="R273" s="26"/>
      <c r="S273" s="26"/>
      <c r="T273" s="26"/>
      <c r="U273" s="26"/>
      <c r="V273" s="5"/>
    </row>
    <row r="274" spans="1:22">
      <c r="A274" s="26" t="s">
        <v>0</v>
      </c>
      <c r="B274" s="11">
        <f>B273</f>
        <v>46027</v>
      </c>
      <c r="C274" s="11" t="s">
        <v>41</v>
      </c>
      <c r="D274" s="26">
        <v>270</v>
      </c>
      <c r="E274" s="10" t="s">
        <v>96</v>
      </c>
      <c r="F274" s="26" t="s">
        <v>6</v>
      </c>
      <c r="G274" s="225" t="s">
        <v>52</v>
      </c>
      <c r="H274" s="39">
        <v>2083.33</v>
      </c>
      <c r="I274" s="216">
        <v>46072</v>
      </c>
      <c r="J274" s="7" t="s">
        <v>91</v>
      </c>
      <c r="K274" s="5" t="s">
        <v>75</v>
      </c>
      <c r="L274" s="6">
        <v>46027</v>
      </c>
      <c r="M274" s="26" t="str">
        <f>IF(Tabela4[[#This Row],[RECOMPRADO]]="RECEBIDO","LIQUIDADO",IF(O274="LIQUIDADO","LIQUIDADO",IF(I274&lt;$I$5,"VENCIDO","A VENCER")))</f>
        <v>LIQUIDADO</v>
      </c>
      <c r="N274" s="212" t="str">
        <f>IF(Tabela4[[#This Row],[STATUS]]="LIQUIDADO","",Tabela4[[#This Row],[VCTO]]-$I$5)</f>
        <v/>
      </c>
      <c r="O274" s="26" t="s">
        <v>86</v>
      </c>
      <c r="P274" s="11"/>
      <c r="Q274" s="26"/>
      <c r="R274" s="26"/>
      <c r="S274" s="26"/>
      <c r="T274" s="26"/>
      <c r="U274" s="26"/>
      <c r="V274" s="5"/>
    </row>
    <row r="275" spans="1:22">
      <c r="A275" s="26" t="s">
        <v>7</v>
      </c>
      <c r="B275" s="11">
        <v>46027</v>
      </c>
      <c r="C275" s="11" t="s">
        <v>41</v>
      </c>
      <c r="D275" s="26">
        <v>4291</v>
      </c>
      <c r="E275" s="10" t="s">
        <v>92</v>
      </c>
      <c r="F275" s="26" t="s">
        <v>115</v>
      </c>
      <c r="G275" s="215" t="s">
        <v>142</v>
      </c>
      <c r="H275" s="39">
        <v>20000</v>
      </c>
      <c r="I275" s="216">
        <v>46055</v>
      </c>
      <c r="J275" s="7" t="s">
        <v>91</v>
      </c>
      <c r="K275" s="5" t="s">
        <v>76</v>
      </c>
      <c r="L275" s="6">
        <v>46037</v>
      </c>
      <c r="M275" s="26" t="str">
        <f>IF(Tabela4[[#This Row],[RECOMPRADO]]="RECEBIDO","LIQUIDADO",IF(O275="LIQUIDADO","LIQUIDADO",IF(I275&lt;$I$5,"VENCIDO","A VENCER")))</f>
        <v>LIQUIDADO</v>
      </c>
      <c r="N275" s="212" t="str">
        <f>IF(Tabela4[[#This Row],[STATUS]]="LIQUIDADO","",Tabela4[[#This Row],[VCTO]]-$I$5)</f>
        <v/>
      </c>
      <c r="O275" s="26" t="s">
        <v>86</v>
      </c>
      <c r="P275" s="11"/>
      <c r="Q275" s="26"/>
      <c r="R275" s="26"/>
      <c r="S275" s="26"/>
      <c r="T275" s="26"/>
      <c r="U275" s="26"/>
      <c r="V275" s="5"/>
    </row>
    <row r="276" spans="1:22">
      <c r="A276" s="26" t="s">
        <v>7</v>
      </c>
      <c r="B276" s="11">
        <v>46027</v>
      </c>
      <c r="C276" s="11" t="s">
        <v>41</v>
      </c>
      <c r="D276" s="26">
        <v>4288</v>
      </c>
      <c r="E276" s="10" t="s">
        <v>92</v>
      </c>
      <c r="F276" s="26" t="s">
        <v>116</v>
      </c>
      <c r="G276" s="215" t="s">
        <v>142</v>
      </c>
      <c r="H276" s="39">
        <v>215551.9</v>
      </c>
      <c r="I276" s="216">
        <v>46063</v>
      </c>
      <c r="J276" s="7" t="s">
        <v>91</v>
      </c>
      <c r="K276" s="5" t="s">
        <v>76</v>
      </c>
      <c r="L276" s="6">
        <v>46037</v>
      </c>
      <c r="M276" s="26" t="str">
        <f>IF(Tabela4[[#This Row],[RECOMPRADO]]="RECEBIDO","LIQUIDADO",IF(O276="LIQUIDADO","LIQUIDADO",IF(I276&lt;$I$5,"VENCIDO","A VENCER")))</f>
        <v>LIQUIDADO</v>
      </c>
      <c r="N276" s="212" t="str">
        <f>IF(Tabela4[[#This Row],[STATUS]]="LIQUIDADO","",Tabela4[[#This Row],[VCTO]]-$I$5)</f>
        <v/>
      </c>
      <c r="O276" s="5" t="s">
        <v>86</v>
      </c>
      <c r="P276" s="11"/>
      <c r="Q276" s="26"/>
      <c r="R276" s="26"/>
      <c r="S276" s="26"/>
      <c r="T276" s="26"/>
      <c r="U276" s="26"/>
      <c r="V276" s="5"/>
    </row>
    <row r="277" spans="1:22">
      <c r="A277" s="26" t="s">
        <v>7</v>
      </c>
      <c r="B277" s="11">
        <v>46027</v>
      </c>
      <c r="C277" s="11" t="s">
        <v>41</v>
      </c>
      <c r="D277" s="26">
        <v>4282</v>
      </c>
      <c r="E277" s="10" t="s">
        <v>92</v>
      </c>
      <c r="F277" s="26" t="s">
        <v>8</v>
      </c>
      <c r="G277" s="215" t="s">
        <v>137</v>
      </c>
      <c r="H277" s="39">
        <v>1746.52</v>
      </c>
      <c r="I277" s="216">
        <v>46058</v>
      </c>
      <c r="J277" s="7" t="s">
        <v>91</v>
      </c>
      <c r="K277" s="5" t="s">
        <v>81</v>
      </c>
      <c r="L277" s="6">
        <v>46029</v>
      </c>
      <c r="M277" s="26" t="str">
        <f>IF(Tabela4[[#This Row],[RECOMPRADO]]="RECEBIDO","LIQUIDADO",IF(O277="LIQUIDADO","LIQUIDADO",IF(I277&lt;$I$5,"VENCIDO","A VENCER")))</f>
        <v>LIQUIDADO</v>
      </c>
      <c r="N277" s="212" t="str">
        <f>IF(Tabela4[[#This Row],[STATUS]]="LIQUIDADO","",Tabela4[[#This Row],[VCTO]]-$I$5)</f>
        <v/>
      </c>
      <c r="O277" s="5" t="s">
        <v>86</v>
      </c>
      <c r="P277" s="11"/>
      <c r="Q277" s="26"/>
      <c r="R277" s="26"/>
      <c r="S277" s="26"/>
      <c r="T277" s="26"/>
      <c r="U277" s="26"/>
      <c r="V277" s="5"/>
    </row>
    <row r="278" spans="1:22">
      <c r="A278" s="26" t="s">
        <v>7</v>
      </c>
      <c r="B278" s="11">
        <f>B277</f>
        <v>46027</v>
      </c>
      <c r="C278" s="11" t="s">
        <v>41</v>
      </c>
      <c r="D278" s="26">
        <v>4282</v>
      </c>
      <c r="E278" s="10" t="s">
        <v>95</v>
      </c>
      <c r="F278" s="26" t="s">
        <v>8</v>
      </c>
      <c r="G278" s="215" t="s">
        <v>137</v>
      </c>
      <c r="H278" s="39">
        <v>1341</v>
      </c>
      <c r="I278" s="216">
        <v>46065</v>
      </c>
      <c r="J278" s="7" t="s">
        <v>91</v>
      </c>
      <c r="K278" s="5" t="s">
        <v>81</v>
      </c>
      <c r="L278" s="6">
        <v>46029</v>
      </c>
      <c r="M278" s="26" t="str">
        <f>IF(Tabela4[[#This Row],[RECOMPRADO]]="RECEBIDO","LIQUIDADO",IF(O278="LIQUIDADO","LIQUIDADO",IF(I278&lt;$I$5,"VENCIDO","A VENCER")))</f>
        <v>LIQUIDADO</v>
      </c>
      <c r="N278" s="212" t="str">
        <f>IF(Tabela4[[#This Row],[STATUS]]="LIQUIDADO","",Tabela4[[#This Row],[VCTO]]-$I$5)</f>
        <v/>
      </c>
      <c r="O278" s="26" t="s">
        <v>86</v>
      </c>
      <c r="P278" s="11"/>
      <c r="Q278" s="26"/>
      <c r="R278" s="26"/>
      <c r="S278" s="26"/>
      <c r="T278" s="26"/>
      <c r="U278" s="26"/>
      <c r="V278" s="5"/>
    </row>
    <row r="279" spans="1:22">
      <c r="A279" s="26" t="s">
        <v>7</v>
      </c>
      <c r="B279" s="11">
        <f>B278</f>
        <v>46027</v>
      </c>
      <c r="C279" s="11" t="s">
        <v>41</v>
      </c>
      <c r="D279" s="26">
        <v>4282</v>
      </c>
      <c r="E279" s="10" t="s">
        <v>96</v>
      </c>
      <c r="F279" s="26" t="s">
        <v>8</v>
      </c>
      <c r="G279" s="215" t="s">
        <v>137</v>
      </c>
      <c r="H279" s="39">
        <v>1341</v>
      </c>
      <c r="I279" s="216">
        <v>46072</v>
      </c>
      <c r="J279" s="7" t="s">
        <v>91</v>
      </c>
      <c r="K279" s="5" t="s">
        <v>81</v>
      </c>
      <c r="L279" s="6">
        <v>46029</v>
      </c>
      <c r="M279" s="26" t="str">
        <f>IF(Tabela4[[#This Row],[RECOMPRADO]]="RECEBIDO","LIQUIDADO",IF(O279="LIQUIDADO","LIQUIDADO",IF(I279&lt;$I$5,"VENCIDO","A VENCER")))</f>
        <v>LIQUIDADO</v>
      </c>
      <c r="N279" s="212" t="str">
        <f>IF(Tabela4[[#This Row],[STATUS]]="LIQUIDADO","",Tabela4[[#This Row],[VCTO]]-$I$5)</f>
        <v/>
      </c>
      <c r="O279" s="26" t="s">
        <v>86</v>
      </c>
      <c r="P279" s="11"/>
      <c r="Q279" s="26"/>
      <c r="R279" s="26"/>
      <c r="S279" s="26"/>
      <c r="T279" s="26"/>
      <c r="U279" s="26"/>
      <c r="V279" s="5"/>
    </row>
    <row r="280" spans="1:22">
      <c r="A280" s="26" t="s">
        <v>7</v>
      </c>
      <c r="B280" s="11">
        <f>B279</f>
        <v>46027</v>
      </c>
      <c r="C280" s="11" t="s">
        <v>41</v>
      </c>
      <c r="D280" s="26">
        <v>4282</v>
      </c>
      <c r="E280" s="10" t="s">
        <v>97</v>
      </c>
      <c r="F280" s="26" t="s">
        <v>8</v>
      </c>
      <c r="G280" s="215" t="s">
        <v>137</v>
      </c>
      <c r="H280" s="39">
        <v>1341</v>
      </c>
      <c r="I280" s="216">
        <v>46079</v>
      </c>
      <c r="J280" s="7" t="s">
        <v>91</v>
      </c>
      <c r="K280" s="5" t="s">
        <v>81</v>
      </c>
      <c r="L280" s="6">
        <v>46029</v>
      </c>
      <c r="M280" s="26" t="str">
        <f>IF(Tabela4[[#This Row],[RECOMPRADO]]="RECEBIDO","LIQUIDADO",IF(O280="LIQUIDADO","LIQUIDADO",IF(I280&lt;$I$5,"VENCIDO","A VENCER")))</f>
        <v>LIQUIDADO</v>
      </c>
      <c r="N280" s="212" t="str">
        <f>IF(Tabela4[[#This Row],[STATUS]]="LIQUIDADO","",Tabela4[[#This Row],[VCTO]]-$I$5)</f>
        <v/>
      </c>
      <c r="O280" s="26" t="s">
        <v>86</v>
      </c>
      <c r="P280" s="11"/>
      <c r="Q280" s="26"/>
      <c r="R280" s="26"/>
      <c r="S280" s="26"/>
      <c r="T280" s="26"/>
      <c r="U280" s="26"/>
      <c r="V280" s="5"/>
    </row>
    <row r="281" spans="1:22">
      <c r="A281" s="26" t="s">
        <v>7</v>
      </c>
      <c r="B281" s="11">
        <v>46027</v>
      </c>
      <c r="C281" s="11" t="s">
        <v>41</v>
      </c>
      <c r="D281" s="26">
        <v>4283</v>
      </c>
      <c r="E281" s="10" t="s">
        <v>92</v>
      </c>
      <c r="F281" s="26" t="s">
        <v>9</v>
      </c>
      <c r="G281" s="215" t="s">
        <v>138</v>
      </c>
      <c r="H281" s="39">
        <v>4540</v>
      </c>
      <c r="I281" s="216">
        <v>46060</v>
      </c>
      <c r="J281" s="7" t="s">
        <v>91</v>
      </c>
      <c r="K281" s="5" t="s">
        <v>81</v>
      </c>
      <c r="L281" s="6">
        <v>46029</v>
      </c>
      <c r="M281" s="26" t="str">
        <f>IF(Tabela4[[#This Row],[RECOMPRADO]]="RECEBIDO","LIQUIDADO",IF(O281="LIQUIDADO","LIQUIDADO",IF(I281&lt;$I$5,"VENCIDO","A VENCER")))</f>
        <v>LIQUIDADO</v>
      </c>
      <c r="N281" s="212" t="s">
        <v>613</v>
      </c>
      <c r="O281" s="26" t="s">
        <v>87</v>
      </c>
      <c r="P281" s="11">
        <v>46066</v>
      </c>
      <c r="Q281" s="26" t="s">
        <v>134</v>
      </c>
      <c r="R281" s="26"/>
      <c r="S281" s="26"/>
      <c r="T281" s="26" t="s">
        <v>595</v>
      </c>
      <c r="U281" s="26"/>
      <c r="V281" s="5"/>
    </row>
    <row r="282" spans="1:22">
      <c r="A282" s="26" t="s">
        <v>7</v>
      </c>
      <c r="B282" s="11">
        <f>B281</f>
        <v>46027</v>
      </c>
      <c r="C282" s="11" t="s">
        <v>41</v>
      </c>
      <c r="D282" s="26">
        <v>4283</v>
      </c>
      <c r="E282" s="10" t="s">
        <v>95</v>
      </c>
      <c r="F282" s="26" t="s">
        <v>9</v>
      </c>
      <c r="G282" s="215" t="s">
        <v>138</v>
      </c>
      <c r="H282" s="39">
        <v>4540</v>
      </c>
      <c r="I282" s="216">
        <v>46090</v>
      </c>
      <c r="J282" s="7" t="s">
        <v>91</v>
      </c>
      <c r="K282" s="5" t="s">
        <v>81</v>
      </c>
      <c r="L282" s="6">
        <v>46033</v>
      </c>
      <c r="M282" s="26" t="str">
        <f ca="1">IF(Tabela4[[#This Row],[RECOMPRADO]]="RECEBIDO","LIQUIDADO",IF(O282="LIQUIDADO","LIQUIDADO",IF(I282&lt;$I$5,"VENCIDO","A VENCER")))</f>
        <v>VENCIDO</v>
      </c>
      <c r="N282" s="212" t="s">
        <v>613</v>
      </c>
      <c r="O282" s="5" t="s">
        <v>87</v>
      </c>
      <c r="P282" s="11">
        <v>46091</v>
      </c>
      <c r="Q282" s="26"/>
      <c r="R282" s="26"/>
      <c r="S282" s="26"/>
      <c r="T282" s="26" t="s">
        <v>612</v>
      </c>
      <c r="U282" s="26"/>
      <c r="V282" s="5"/>
    </row>
    <row r="283" spans="1:22">
      <c r="A283" s="26" t="s">
        <v>7</v>
      </c>
      <c r="B283" s="11">
        <f>B282</f>
        <v>46027</v>
      </c>
      <c r="C283" s="11" t="s">
        <v>41</v>
      </c>
      <c r="D283" s="26">
        <v>4283</v>
      </c>
      <c r="E283" s="10" t="s">
        <v>96</v>
      </c>
      <c r="F283" s="26" t="s">
        <v>9</v>
      </c>
      <c r="G283" s="215" t="s">
        <v>138</v>
      </c>
      <c r="H283" s="39">
        <v>4540</v>
      </c>
      <c r="I283" s="216">
        <v>46120</v>
      </c>
      <c r="J283" s="7" t="s">
        <v>91</v>
      </c>
      <c r="K283" s="5" t="s">
        <v>81</v>
      </c>
      <c r="L283" s="6">
        <v>46029</v>
      </c>
      <c r="M283" s="26" t="str">
        <f ca="1">IF(Tabela4[[#This Row],[RECOMPRADO]]="RECEBIDO","LIQUIDADO",IF(O283="LIQUIDADO","LIQUIDADO",IF(I283&lt;$I$5,"VENCIDO","A VENCER")))</f>
        <v>A VENCER</v>
      </c>
      <c r="N283" s="212" t="s">
        <v>613</v>
      </c>
      <c r="O283" s="5"/>
      <c r="P283" s="11"/>
      <c r="Q283" s="26"/>
      <c r="R283" s="26"/>
      <c r="S283" s="26"/>
      <c r="T283" s="26" t="s">
        <v>478</v>
      </c>
      <c r="U283" s="26"/>
      <c r="V283" s="5"/>
    </row>
    <row r="284" spans="1:22">
      <c r="A284" s="26" t="s">
        <v>7</v>
      </c>
      <c r="B284" s="11">
        <v>46027</v>
      </c>
      <c r="C284" s="11" t="s">
        <v>41</v>
      </c>
      <c r="D284" s="26">
        <v>4284</v>
      </c>
      <c r="E284" s="10" t="s">
        <v>92</v>
      </c>
      <c r="F284" s="26" t="s">
        <v>10</v>
      </c>
      <c r="G284" s="215" t="s">
        <v>71</v>
      </c>
      <c r="H284" s="39">
        <v>3060.64</v>
      </c>
      <c r="I284" s="216">
        <v>46078</v>
      </c>
      <c r="J284" s="7" t="s">
        <v>91</v>
      </c>
      <c r="K284" s="5" t="s">
        <v>81</v>
      </c>
      <c r="L284" s="6">
        <v>46029</v>
      </c>
      <c r="M284" s="26" t="str">
        <f>IF(Tabela4[[#This Row],[RECOMPRADO]]="RECEBIDO","LIQUIDADO",IF(O284="LIQUIDADO","LIQUIDADO",IF(I284&lt;$I$5,"VENCIDO","A VENCER")))</f>
        <v>LIQUIDADO</v>
      </c>
      <c r="N284" s="212" t="str">
        <f>IF(Tabela4[[#This Row],[STATUS]]="LIQUIDADO","",Tabela4[[#This Row],[VCTO]]-$I$5)</f>
        <v/>
      </c>
      <c r="O284" s="26" t="s">
        <v>86</v>
      </c>
      <c r="P284" s="11"/>
      <c r="Q284" s="26"/>
      <c r="R284" s="26"/>
      <c r="S284" s="26"/>
      <c r="T284" s="26"/>
      <c r="U284" s="26"/>
      <c r="V284" s="5"/>
    </row>
    <row r="285" spans="1:22">
      <c r="A285" s="26" t="s">
        <v>7</v>
      </c>
      <c r="B285" s="11">
        <f>B284</f>
        <v>46027</v>
      </c>
      <c r="C285" s="11" t="s">
        <v>41</v>
      </c>
      <c r="D285" s="26">
        <v>4284</v>
      </c>
      <c r="E285" s="10" t="s">
        <v>95</v>
      </c>
      <c r="F285" s="26" t="s">
        <v>10</v>
      </c>
      <c r="G285" s="215" t="s">
        <v>71</v>
      </c>
      <c r="H285" s="39">
        <v>2350</v>
      </c>
      <c r="I285" s="216">
        <v>46085</v>
      </c>
      <c r="J285" s="7" t="s">
        <v>91</v>
      </c>
      <c r="K285" s="5" t="s">
        <v>81</v>
      </c>
      <c r="L285" s="6">
        <v>46029</v>
      </c>
      <c r="M285" s="26" t="str">
        <f>IF(Tabela4[[#This Row],[RECOMPRADO]]="RECEBIDO","LIQUIDADO",IF(O285="LIQUIDADO","LIQUIDADO",IF(I285&lt;$I$5,"VENCIDO","A VENCER")))</f>
        <v>LIQUIDADO</v>
      </c>
      <c r="N285" s="212" t="str">
        <f>IF(Tabela4[[#This Row],[STATUS]]="LIQUIDADO","",Tabela4[[#This Row],[VCTO]]-$I$5)</f>
        <v/>
      </c>
      <c r="O285" s="26" t="s">
        <v>86</v>
      </c>
      <c r="P285" s="11"/>
      <c r="Q285" s="26"/>
      <c r="R285" s="26"/>
      <c r="S285" s="26"/>
      <c r="T285" s="26"/>
      <c r="U285" s="26"/>
      <c r="V285" s="5"/>
    </row>
    <row r="286" spans="1:22">
      <c r="A286" s="26" t="s">
        <v>7</v>
      </c>
      <c r="B286" s="11">
        <f>B285</f>
        <v>46027</v>
      </c>
      <c r="C286" s="11" t="s">
        <v>41</v>
      </c>
      <c r="D286" s="26">
        <v>4284</v>
      </c>
      <c r="E286" s="10" t="s">
        <v>96</v>
      </c>
      <c r="F286" s="26" t="s">
        <v>10</v>
      </c>
      <c r="G286" s="215" t="s">
        <v>71</v>
      </c>
      <c r="H286" s="39">
        <v>2350</v>
      </c>
      <c r="I286" s="216">
        <v>46092</v>
      </c>
      <c r="J286" s="7" t="s">
        <v>91</v>
      </c>
      <c r="K286" s="5" t="s">
        <v>81</v>
      </c>
      <c r="L286" s="6">
        <v>46029</v>
      </c>
      <c r="M286" s="26" t="str">
        <f>IF(Tabela4[[#This Row],[RECOMPRADO]]="RECEBIDO","LIQUIDADO",IF(O286="LIQUIDADO","LIQUIDADO",IF(I286&lt;$I$5,"VENCIDO","A VENCER")))</f>
        <v>LIQUIDADO</v>
      </c>
      <c r="N286" s="212" t="str">
        <f>IF(Tabela4[[#This Row],[STATUS]]="LIQUIDADO","",Tabela4[[#This Row],[VCTO]]-$I$5)</f>
        <v/>
      </c>
      <c r="O286" s="26" t="s">
        <v>86</v>
      </c>
      <c r="P286" s="11"/>
      <c r="Q286" s="26"/>
      <c r="R286" s="26"/>
      <c r="S286" s="26"/>
      <c r="T286" s="26"/>
      <c r="U286" s="26"/>
      <c r="V286" s="5"/>
    </row>
    <row r="287" spans="1:22">
      <c r="A287" s="26" t="s">
        <v>7</v>
      </c>
      <c r="B287" s="11">
        <f>B286</f>
        <v>46027</v>
      </c>
      <c r="C287" s="11" t="s">
        <v>41</v>
      </c>
      <c r="D287" s="26">
        <v>4284</v>
      </c>
      <c r="E287" s="10" t="s">
        <v>97</v>
      </c>
      <c r="F287" s="26" t="s">
        <v>10</v>
      </c>
      <c r="G287" s="215" t="s">
        <v>71</v>
      </c>
      <c r="H287" s="39">
        <v>2350</v>
      </c>
      <c r="I287" s="216">
        <v>46099</v>
      </c>
      <c r="J287" s="7" t="s">
        <v>91</v>
      </c>
      <c r="K287" s="5" t="s">
        <v>81</v>
      </c>
      <c r="L287" s="6">
        <v>46029</v>
      </c>
      <c r="M287" s="26" t="str">
        <f ca="1">IF(Tabela4[[#This Row],[RECOMPRADO]]="RECEBIDO","LIQUIDADO",IF(O287="LIQUIDADO","LIQUIDADO",IF(I287&lt;$I$5,"VENCIDO","A VENCER")))</f>
        <v>A VENCER</v>
      </c>
      <c r="N287" s="212">
        <f ca="1">IF(Tabela4[[#This Row],[STATUS]]="LIQUIDADO","",Tabela4[[#This Row],[VCTO]]-$I$5)</f>
        <v>1</v>
      </c>
      <c r="O287" s="26"/>
      <c r="P287" s="11"/>
      <c r="Q287" s="26"/>
      <c r="R287" s="26"/>
      <c r="S287" s="26"/>
      <c r="T287" s="26"/>
      <c r="U287" s="26"/>
      <c r="V287" s="5"/>
    </row>
    <row r="288" spans="1:22">
      <c r="A288" s="26" t="s">
        <v>7</v>
      </c>
      <c r="B288" s="11">
        <v>46027</v>
      </c>
      <c r="C288" s="11" t="s">
        <v>41</v>
      </c>
      <c r="D288" s="26">
        <v>4285</v>
      </c>
      <c r="E288" s="10" t="s">
        <v>92</v>
      </c>
      <c r="F288" s="26" t="s">
        <v>11</v>
      </c>
      <c r="G288" s="215" t="s">
        <v>143</v>
      </c>
      <c r="H288" s="39">
        <v>15541.2</v>
      </c>
      <c r="I288" s="216">
        <v>46060</v>
      </c>
      <c r="J288" s="7" t="s">
        <v>91</v>
      </c>
      <c r="K288" s="5" t="s">
        <v>81</v>
      </c>
      <c r="L288" s="6">
        <v>46029</v>
      </c>
      <c r="M288" s="26" t="str">
        <f>IF(Tabela4[[#This Row],[RECOMPRADO]]="RECEBIDO","LIQUIDADO",IF(O288="LIQUIDADO","LIQUIDADO",IF(I288&lt;$I$5,"VENCIDO","A VENCER")))</f>
        <v>LIQUIDADO</v>
      </c>
      <c r="N288" s="212" t="str">
        <f>IF(Tabela4[[#This Row],[STATUS]]="LIQUIDADO","",Tabela4[[#This Row],[VCTO]]-$I$5)</f>
        <v/>
      </c>
      <c r="O288" s="5" t="s">
        <v>86</v>
      </c>
      <c r="P288" s="11"/>
      <c r="Q288" s="26"/>
      <c r="R288" s="26"/>
      <c r="S288" s="26"/>
      <c r="T288" s="26"/>
      <c r="U288" s="26"/>
      <c r="V288" s="5"/>
    </row>
    <row r="289" spans="1:22">
      <c r="A289" s="26" t="s">
        <v>7</v>
      </c>
      <c r="B289" s="11">
        <f>B288</f>
        <v>46027</v>
      </c>
      <c r="C289" s="11" t="s">
        <v>41</v>
      </c>
      <c r="D289" s="26">
        <v>4285</v>
      </c>
      <c r="E289" s="10" t="s">
        <v>95</v>
      </c>
      <c r="F289" s="26" t="s">
        <v>11</v>
      </c>
      <c r="G289" s="215" t="s">
        <v>143</v>
      </c>
      <c r="H289" s="39">
        <v>13500</v>
      </c>
      <c r="I289" s="216">
        <v>46090</v>
      </c>
      <c r="J289" s="7" t="s">
        <v>91</v>
      </c>
      <c r="K289" s="5" t="s">
        <v>81</v>
      </c>
      <c r="L289" s="6">
        <v>46029</v>
      </c>
      <c r="M289" s="26" t="str">
        <f>IF(Tabela4[[#This Row],[RECOMPRADO]]="RECEBIDO","LIQUIDADO",IF(O289="LIQUIDADO","LIQUIDADO",IF(I289&lt;$I$5,"VENCIDO","A VENCER")))</f>
        <v>LIQUIDADO</v>
      </c>
      <c r="N289" s="212" t="str">
        <f>IF(Tabela4[[#This Row],[STATUS]]="LIQUIDADO","",Tabela4[[#This Row],[VCTO]]-$I$5)</f>
        <v/>
      </c>
      <c r="O289" s="5" t="s">
        <v>86</v>
      </c>
      <c r="P289" s="11"/>
      <c r="Q289" s="26"/>
      <c r="R289" s="26"/>
      <c r="S289" s="26"/>
      <c r="T289" s="26"/>
      <c r="U289" s="26"/>
      <c r="V289" s="5"/>
    </row>
    <row r="290" spans="1:22">
      <c r="A290" s="26" t="s">
        <v>7</v>
      </c>
      <c r="B290" s="11">
        <v>46027</v>
      </c>
      <c r="C290" s="11" t="s">
        <v>41</v>
      </c>
      <c r="D290" s="26">
        <v>4286</v>
      </c>
      <c r="E290" s="10" t="s">
        <v>92</v>
      </c>
      <c r="F290" s="26" t="s">
        <v>12</v>
      </c>
      <c r="G290" s="215" t="s">
        <v>144</v>
      </c>
      <c r="H290" s="39">
        <v>3933.92</v>
      </c>
      <c r="I290" s="216">
        <v>46058</v>
      </c>
      <c r="J290" s="7" t="s">
        <v>91</v>
      </c>
      <c r="K290" s="5" t="s">
        <v>81</v>
      </c>
      <c r="L290" s="6">
        <v>46029</v>
      </c>
      <c r="M290" s="26" t="str">
        <f>IF(Tabela4[[#This Row],[RECOMPRADO]]="RECEBIDO","LIQUIDADO",IF(O290="LIQUIDADO","LIQUIDADO",IF(I290&lt;$I$5,"VENCIDO","A VENCER")))</f>
        <v>LIQUIDADO</v>
      </c>
      <c r="N290" s="212" t="str">
        <f>IF(Tabela4[[#This Row],[STATUS]]="LIQUIDADO","",Tabela4[[#This Row],[VCTO]]-$I$5)</f>
        <v/>
      </c>
      <c r="O290" s="26" t="s">
        <v>86</v>
      </c>
      <c r="P290" s="11"/>
      <c r="Q290" s="26"/>
      <c r="R290" s="26"/>
      <c r="S290" s="26"/>
      <c r="T290" s="26"/>
      <c r="U290" s="26"/>
      <c r="V290" s="5"/>
    </row>
    <row r="291" spans="1:22">
      <c r="A291" s="26" t="s">
        <v>7</v>
      </c>
      <c r="B291" s="11">
        <f>B290</f>
        <v>46027</v>
      </c>
      <c r="C291" s="11" t="s">
        <v>41</v>
      </c>
      <c r="D291" s="26">
        <v>4286</v>
      </c>
      <c r="E291" s="10" t="s">
        <v>95</v>
      </c>
      <c r="F291" s="26" t="s">
        <v>12</v>
      </c>
      <c r="G291" s="215" t="s">
        <v>144</v>
      </c>
      <c r="H291" s="39">
        <v>2854.8</v>
      </c>
      <c r="I291" s="216">
        <v>46065</v>
      </c>
      <c r="J291" s="7" t="s">
        <v>91</v>
      </c>
      <c r="K291" s="5" t="s">
        <v>81</v>
      </c>
      <c r="L291" s="6">
        <v>46029</v>
      </c>
      <c r="M291" s="26" t="str">
        <f>IF(Tabela4[[#This Row],[RECOMPRADO]]="RECEBIDO","LIQUIDADO",IF(O291="LIQUIDADO","LIQUIDADO",IF(I291&lt;$I$5,"VENCIDO","A VENCER")))</f>
        <v>LIQUIDADO</v>
      </c>
      <c r="N291" s="212" t="str">
        <f>IF(Tabela4[[#This Row],[STATUS]]="LIQUIDADO","",Tabela4[[#This Row],[VCTO]]-$I$5)</f>
        <v/>
      </c>
      <c r="O291" s="26" t="s">
        <v>86</v>
      </c>
      <c r="P291" s="11"/>
      <c r="Q291" s="26"/>
      <c r="R291" s="26"/>
      <c r="S291" s="26"/>
      <c r="T291" s="26" t="s">
        <v>498</v>
      </c>
      <c r="U291" s="26"/>
      <c r="V291" s="5"/>
    </row>
    <row r="292" spans="1:22">
      <c r="A292" s="26" t="s">
        <v>7</v>
      </c>
      <c r="B292" s="11">
        <f>B291</f>
        <v>46027</v>
      </c>
      <c r="C292" s="11" t="s">
        <v>41</v>
      </c>
      <c r="D292" s="26">
        <v>4286</v>
      </c>
      <c r="E292" s="10" t="s">
        <v>96</v>
      </c>
      <c r="F292" s="26" t="s">
        <v>12</v>
      </c>
      <c r="G292" s="215" t="s">
        <v>144</v>
      </c>
      <c r="H292" s="39">
        <v>2854.8</v>
      </c>
      <c r="I292" s="216">
        <v>46072</v>
      </c>
      <c r="J292" s="7" t="s">
        <v>91</v>
      </c>
      <c r="K292" s="5" t="s">
        <v>81</v>
      </c>
      <c r="L292" s="6">
        <v>46029</v>
      </c>
      <c r="M292" s="26" t="str">
        <f>IF(Tabela4[[#This Row],[RECOMPRADO]]="RECEBIDO","LIQUIDADO",IF(O292="LIQUIDADO","LIQUIDADO",IF(I292&lt;$I$5,"VENCIDO","A VENCER")))</f>
        <v>LIQUIDADO</v>
      </c>
      <c r="N292" s="212" t="str">
        <f>IF(Tabela4[[#This Row],[STATUS]]="LIQUIDADO","",Tabela4[[#This Row],[VCTO]]-$I$5)</f>
        <v/>
      </c>
      <c r="O292" s="26" t="s">
        <v>86</v>
      </c>
      <c r="P292" s="11"/>
      <c r="Q292" s="26"/>
      <c r="R292" s="26"/>
      <c r="S292" s="26"/>
      <c r="T292" s="26" t="s">
        <v>498</v>
      </c>
      <c r="U292" s="26"/>
      <c r="V292" s="5"/>
    </row>
    <row r="293" spans="1:22">
      <c r="A293" s="26" t="s">
        <v>7</v>
      </c>
      <c r="B293" s="11">
        <f>B292</f>
        <v>46027</v>
      </c>
      <c r="C293" s="11" t="s">
        <v>41</v>
      </c>
      <c r="D293" s="26">
        <v>4286</v>
      </c>
      <c r="E293" s="10" t="s">
        <v>97</v>
      </c>
      <c r="F293" s="26" t="s">
        <v>12</v>
      </c>
      <c r="G293" s="215" t="s">
        <v>144</v>
      </c>
      <c r="H293" s="39">
        <v>2854.8</v>
      </c>
      <c r="I293" s="216">
        <v>46079</v>
      </c>
      <c r="J293" s="7" t="s">
        <v>91</v>
      </c>
      <c r="K293" s="5" t="s">
        <v>81</v>
      </c>
      <c r="L293" s="6">
        <v>46029</v>
      </c>
      <c r="M293" s="26" t="str">
        <f>IF(Tabela4[[#This Row],[RECOMPRADO]]="RECEBIDO","LIQUIDADO",IF(O293="LIQUIDADO","LIQUIDADO",IF(I293&lt;$I$5,"VENCIDO","A VENCER")))</f>
        <v>LIQUIDADO</v>
      </c>
      <c r="N293" s="212" t="str">
        <f>IF(Tabela4[[#This Row],[STATUS]]="LIQUIDADO","",Tabela4[[#This Row],[VCTO]]-$I$5)</f>
        <v/>
      </c>
      <c r="O293" s="26" t="s">
        <v>86</v>
      </c>
      <c r="P293" s="11"/>
      <c r="Q293" s="26"/>
      <c r="R293" s="26"/>
      <c r="S293" s="26"/>
      <c r="T293" s="26" t="s">
        <v>566</v>
      </c>
      <c r="U293" s="26"/>
      <c r="V293" s="5"/>
    </row>
    <row r="294" spans="1:22">
      <c r="A294" s="26" t="s">
        <v>7</v>
      </c>
      <c r="B294" s="11">
        <f>B293</f>
        <v>46027</v>
      </c>
      <c r="C294" s="11" t="s">
        <v>41</v>
      </c>
      <c r="D294" s="26">
        <v>4286</v>
      </c>
      <c r="E294" s="10" t="s">
        <v>98</v>
      </c>
      <c r="F294" s="26" t="s">
        <v>12</v>
      </c>
      <c r="G294" s="215" t="s">
        <v>144</v>
      </c>
      <c r="H294" s="39">
        <v>2854.8</v>
      </c>
      <c r="I294" s="216">
        <v>46086</v>
      </c>
      <c r="J294" s="7" t="s">
        <v>91</v>
      </c>
      <c r="K294" s="5" t="s">
        <v>81</v>
      </c>
      <c r="L294" s="6">
        <v>46029</v>
      </c>
      <c r="M294" s="26" t="str">
        <f>IF(Tabela4[[#This Row],[RECOMPRADO]]="RECEBIDO","LIQUIDADO",IF(O294="LIQUIDADO","LIQUIDADO",IF(I294&lt;$I$5,"VENCIDO","A VENCER")))</f>
        <v>LIQUIDADO</v>
      </c>
      <c r="N294" s="212" t="str">
        <f>IF(Tabela4[[#This Row],[STATUS]]="LIQUIDADO","",Tabela4[[#This Row],[VCTO]]-$I$5)</f>
        <v/>
      </c>
      <c r="O294" s="5" t="s">
        <v>86</v>
      </c>
      <c r="P294" s="11"/>
      <c r="Q294" s="26"/>
      <c r="R294" s="26"/>
      <c r="S294" s="26"/>
      <c r="T294" s="26" t="s">
        <v>588</v>
      </c>
      <c r="U294" s="26"/>
      <c r="V294" s="5"/>
    </row>
    <row r="295" spans="1:22">
      <c r="A295" s="26" t="s">
        <v>0</v>
      </c>
      <c r="B295" s="11">
        <v>46028</v>
      </c>
      <c r="C295" s="11" t="s">
        <v>41</v>
      </c>
      <c r="D295" s="26">
        <v>271</v>
      </c>
      <c r="E295" s="10" t="s">
        <v>92</v>
      </c>
      <c r="F295" s="26" t="s">
        <v>13</v>
      </c>
      <c r="G295" s="225" t="s">
        <v>60</v>
      </c>
      <c r="H295" s="39">
        <v>991.63</v>
      </c>
      <c r="I295" s="216">
        <v>46058</v>
      </c>
      <c r="J295" s="7" t="s">
        <v>91</v>
      </c>
      <c r="K295" s="5" t="s">
        <v>81</v>
      </c>
      <c r="L295" s="6">
        <v>46029</v>
      </c>
      <c r="M295" s="26" t="str">
        <f>IF(Tabela4[[#This Row],[RECOMPRADO]]="RECEBIDO","LIQUIDADO",IF(O295="LIQUIDADO","LIQUIDADO",IF(I295&lt;$I$5,"VENCIDO","A VENCER")))</f>
        <v>LIQUIDADO</v>
      </c>
      <c r="N295" s="212" t="str">
        <f>IF(Tabela4[[#This Row],[STATUS]]="LIQUIDADO","",Tabela4[[#This Row],[VCTO]]-$I$5)</f>
        <v/>
      </c>
      <c r="O295" s="5" t="s">
        <v>86</v>
      </c>
      <c r="P295" s="11"/>
      <c r="Q295" s="26"/>
      <c r="R295" s="26"/>
      <c r="S295" s="26"/>
      <c r="T295" s="26"/>
      <c r="U295" s="26"/>
      <c r="V295" s="5"/>
    </row>
    <row r="296" spans="1:22">
      <c r="A296" s="26" t="s">
        <v>0</v>
      </c>
      <c r="B296" s="11">
        <f>B295</f>
        <v>46028</v>
      </c>
      <c r="C296" s="11" t="s">
        <v>41</v>
      </c>
      <c r="D296" s="26">
        <v>271</v>
      </c>
      <c r="E296" s="10" t="s">
        <v>95</v>
      </c>
      <c r="F296" s="26" t="s">
        <v>13</v>
      </c>
      <c r="G296" s="225" t="s">
        <v>60</v>
      </c>
      <c r="H296" s="39">
        <v>808.31</v>
      </c>
      <c r="I296" s="216">
        <v>46065</v>
      </c>
      <c r="J296" s="7" t="s">
        <v>91</v>
      </c>
      <c r="K296" s="5" t="s">
        <v>81</v>
      </c>
      <c r="L296" s="6">
        <v>46029</v>
      </c>
      <c r="M296" s="26" t="str">
        <f>IF(Tabela4[[#This Row],[RECOMPRADO]]="RECEBIDO","LIQUIDADO",IF(O296="LIQUIDADO","LIQUIDADO",IF(I296&lt;$I$5,"VENCIDO","A VENCER")))</f>
        <v>LIQUIDADO</v>
      </c>
      <c r="N296" s="212" t="str">
        <f>IF(Tabela4[[#This Row],[STATUS]]="LIQUIDADO","",Tabela4[[#This Row],[VCTO]]-$I$5)</f>
        <v/>
      </c>
      <c r="O296" s="26" t="s">
        <v>86</v>
      </c>
      <c r="P296" s="11"/>
      <c r="Q296" s="26"/>
      <c r="R296" s="26"/>
      <c r="S296" s="26"/>
      <c r="T296" s="26"/>
      <c r="U296" s="26"/>
      <c r="V296" s="5"/>
    </row>
    <row r="297" spans="1:22">
      <c r="A297" s="26" t="s">
        <v>0</v>
      </c>
      <c r="B297" s="11">
        <f>B296</f>
        <v>46028</v>
      </c>
      <c r="C297" s="11" t="s">
        <v>41</v>
      </c>
      <c r="D297" s="26">
        <v>271</v>
      </c>
      <c r="E297" s="10" t="s">
        <v>96</v>
      </c>
      <c r="F297" s="26" t="s">
        <v>13</v>
      </c>
      <c r="G297" s="225" t="s">
        <v>60</v>
      </c>
      <c r="H297" s="39">
        <v>808.3</v>
      </c>
      <c r="I297" s="216">
        <v>46072</v>
      </c>
      <c r="J297" s="7" t="s">
        <v>91</v>
      </c>
      <c r="K297" s="5" t="s">
        <v>81</v>
      </c>
      <c r="L297" s="6">
        <v>46029</v>
      </c>
      <c r="M297" s="26" t="str">
        <f>IF(Tabela4[[#This Row],[RECOMPRADO]]="RECEBIDO","LIQUIDADO",IF(O297="LIQUIDADO","LIQUIDADO",IF(I297&lt;$I$5,"VENCIDO","A VENCER")))</f>
        <v>LIQUIDADO</v>
      </c>
      <c r="N297" s="212" t="str">
        <f>IF(Tabela4[[#This Row],[STATUS]]="LIQUIDADO","",Tabela4[[#This Row],[VCTO]]-$I$5)</f>
        <v/>
      </c>
      <c r="O297" s="26" t="s">
        <v>86</v>
      </c>
      <c r="P297" s="11"/>
      <c r="Q297" s="26"/>
      <c r="R297" s="26"/>
      <c r="S297" s="26"/>
      <c r="T297" s="26"/>
      <c r="U297" s="26"/>
      <c r="V297" s="5"/>
    </row>
    <row r="298" spans="1:22">
      <c r="A298" s="26" t="s">
        <v>0</v>
      </c>
      <c r="B298" s="11">
        <v>46028</v>
      </c>
      <c r="C298" s="11" t="s">
        <v>43</v>
      </c>
      <c r="D298" s="26">
        <v>271</v>
      </c>
      <c r="E298" s="10" t="s">
        <v>92</v>
      </c>
      <c r="F298" s="26" t="s">
        <v>13</v>
      </c>
      <c r="G298" s="225" t="s">
        <v>60</v>
      </c>
      <c r="H298" s="39">
        <v>808.31</v>
      </c>
      <c r="I298" s="216">
        <v>46058</v>
      </c>
      <c r="J298" s="7" t="s">
        <v>91</v>
      </c>
      <c r="K298" s="5" t="s">
        <v>77</v>
      </c>
      <c r="L298" s="6">
        <v>46037</v>
      </c>
      <c r="M298" s="26" t="str">
        <f>IF(Tabela4[[#This Row],[RECOMPRADO]]="RECEBIDO","LIQUIDADO",IF(O298="LIQUIDADO","LIQUIDADO",IF(I298&lt;$I$5,"VENCIDO","A VENCER")))</f>
        <v>LIQUIDADO</v>
      </c>
      <c r="N298" s="212" t="str">
        <f>IF(Tabela4[[#This Row],[STATUS]]="LIQUIDADO","",Tabela4[[#This Row],[VCTO]]-$I$5)</f>
        <v/>
      </c>
      <c r="O298" s="26" t="s">
        <v>86</v>
      </c>
      <c r="P298" s="11"/>
      <c r="Q298" s="26"/>
      <c r="R298" s="26"/>
      <c r="S298" s="26"/>
      <c r="T298" s="26"/>
      <c r="U298" s="26"/>
      <c r="V298" s="5"/>
    </row>
    <row r="299" spans="1:22">
      <c r="A299" s="26" t="s">
        <v>0</v>
      </c>
      <c r="B299" s="11">
        <f>B298</f>
        <v>46028</v>
      </c>
      <c r="C299" s="11" t="s">
        <v>43</v>
      </c>
      <c r="D299" s="26">
        <v>271</v>
      </c>
      <c r="E299" s="10" t="s">
        <v>95</v>
      </c>
      <c r="F299" s="26" t="s">
        <v>13</v>
      </c>
      <c r="G299" s="225" t="s">
        <v>60</v>
      </c>
      <c r="H299" s="39">
        <v>808.31</v>
      </c>
      <c r="I299" s="216">
        <v>46065</v>
      </c>
      <c r="J299" s="7" t="s">
        <v>91</v>
      </c>
      <c r="K299" s="5" t="s">
        <v>77</v>
      </c>
      <c r="L299" s="6">
        <v>46037</v>
      </c>
      <c r="M299" s="26" t="str">
        <f>IF(Tabela4[[#This Row],[RECOMPRADO]]="RECEBIDO","LIQUIDADO",IF(O299="LIQUIDADO","LIQUIDADO",IF(I299&lt;$I$5,"VENCIDO","A VENCER")))</f>
        <v>LIQUIDADO</v>
      </c>
      <c r="N299" s="212" t="str">
        <f>IF(Tabela4[[#This Row],[STATUS]]="LIQUIDADO","",Tabela4[[#This Row],[VCTO]]-$I$5)</f>
        <v/>
      </c>
      <c r="O299" s="26" t="s">
        <v>86</v>
      </c>
      <c r="P299" s="11"/>
      <c r="Q299" s="26"/>
      <c r="R299" s="26"/>
      <c r="S299" s="26"/>
      <c r="T299" s="26"/>
      <c r="U299" s="26"/>
      <c r="V299" s="5"/>
    </row>
    <row r="300" spans="1:22">
      <c r="A300" s="26" t="s">
        <v>0</v>
      </c>
      <c r="B300" s="11">
        <f>B299</f>
        <v>46028</v>
      </c>
      <c r="C300" s="11" t="s">
        <v>43</v>
      </c>
      <c r="D300" s="26">
        <v>271</v>
      </c>
      <c r="E300" s="10" t="s">
        <v>96</v>
      </c>
      <c r="F300" s="26" t="s">
        <v>13</v>
      </c>
      <c r="G300" s="225" t="s">
        <v>60</v>
      </c>
      <c r="H300" s="39">
        <v>808.3</v>
      </c>
      <c r="I300" s="216">
        <v>46072</v>
      </c>
      <c r="J300" s="7" t="s">
        <v>91</v>
      </c>
      <c r="K300" s="5" t="s">
        <v>77</v>
      </c>
      <c r="L300" s="6">
        <v>46037</v>
      </c>
      <c r="M300" s="26" t="str">
        <f>IF(Tabela4[[#This Row],[RECOMPRADO]]="RECEBIDO","LIQUIDADO",IF(O300="LIQUIDADO","LIQUIDADO",IF(I300&lt;$I$5,"VENCIDO","A VENCER")))</f>
        <v>LIQUIDADO</v>
      </c>
      <c r="N300" s="212" t="str">
        <f>IF(Tabela4[[#This Row],[STATUS]]="LIQUIDADO","",Tabela4[[#This Row],[VCTO]]-$I$5)</f>
        <v/>
      </c>
      <c r="O300" s="5" t="s">
        <v>86</v>
      </c>
      <c r="P300" s="11"/>
      <c r="Q300" s="26"/>
      <c r="R300" s="26"/>
      <c r="S300" s="26"/>
      <c r="T300" s="26"/>
      <c r="U300" s="26"/>
      <c r="V300" s="5"/>
    </row>
    <row r="301" spans="1:22">
      <c r="A301" s="26" t="s">
        <v>0</v>
      </c>
      <c r="B301" s="11">
        <v>46028</v>
      </c>
      <c r="C301" s="11" t="s">
        <v>41</v>
      </c>
      <c r="D301" s="26">
        <v>4287</v>
      </c>
      <c r="E301" s="10" t="s">
        <v>92</v>
      </c>
      <c r="F301" s="26" t="s">
        <v>14</v>
      </c>
      <c r="G301" s="225" t="s">
        <v>71</v>
      </c>
      <c r="H301" s="39">
        <v>1456.24</v>
      </c>
      <c r="I301" s="216">
        <v>46058</v>
      </c>
      <c r="J301" s="7" t="s">
        <v>91</v>
      </c>
      <c r="K301" s="5" t="s">
        <v>81</v>
      </c>
      <c r="L301" s="6">
        <v>46029</v>
      </c>
      <c r="M301" s="26" t="str">
        <f>IF(Tabela4[[#This Row],[RECOMPRADO]]="RECEBIDO","LIQUIDADO",IF(O301="LIQUIDADO","LIQUIDADO",IF(I301&lt;$I$5,"VENCIDO","A VENCER")))</f>
        <v>LIQUIDADO</v>
      </c>
      <c r="N301" s="212" t="str">
        <f>IF(Tabela4[[#This Row],[STATUS]]="LIQUIDADO","",Tabela4[[#This Row],[VCTO]]-$I$5)</f>
        <v/>
      </c>
      <c r="O301" s="5" t="s">
        <v>86</v>
      </c>
      <c r="P301" s="11"/>
      <c r="Q301" s="26"/>
      <c r="R301" s="26"/>
      <c r="S301" s="26"/>
      <c r="T301" s="26"/>
      <c r="U301" s="26"/>
      <c r="V301" s="5"/>
    </row>
    <row r="302" spans="1:22">
      <c r="A302" s="26" t="s">
        <v>0</v>
      </c>
      <c r="B302" s="11">
        <f>B301</f>
        <v>46028</v>
      </c>
      <c r="C302" s="11" t="s">
        <v>41</v>
      </c>
      <c r="D302" s="26">
        <v>4287</v>
      </c>
      <c r="E302" s="10" t="s">
        <v>95</v>
      </c>
      <c r="F302" s="26" t="s">
        <v>14</v>
      </c>
      <c r="G302" s="225" t="s">
        <v>71</v>
      </c>
      <c r="H302" s="39">
        <v>1187.04</v>
      </c>
      <c r="I302" s="216">
        <v>46072</v>
      </c>
      <c r="J302" s="7" t="s">
        <v>91</v>
      </c>
      <c r="K302" s="5" t="s">
        <v>81</v>
      </c>
      <c r="L302" s="6">
        <v>46029</v>
      </c>
      <c r="M302" s="26" t="str">
        <f>IF(Tabela4[[#This Row],[RECOMPRADO]]="RECEBIDO","LIQUIDADO",IF(O302="LIQUIDADO","LIQUIDADO",IF(I302&lt;$I$5,"VENCIDO","A VENCER")))</f>
        <v>LIQUIDADO</v>
      </c>
      <c r="N302" s="212" t="str">
        <f>IF(Tabela4[[#This Row],[STATUS]]="LIQUIDADO","",Tabela4[[#This Row],[VCTO]]-$I$5)</f>
        <v/>
      </c>
      <c r="O302" s="26" t="s">
        <v>86</v>
      </c>
      <c r="P302" s="11"/>
      <c r="Q302" s="26"/>
      <c r="R302" s="26"/>
      <c r="S302" s="26"/>
      <c r="T302" s="26"/>
      <c r="U302" s="26"/>
      <c r="V302" s="5"/>
    </row>
    <row r="303" spans="1:22">
      <c r="A303" s="26" t="s">
        <v>7</v>
      </c>
      <c r="B303" s="11">
        <f>B302</f>
        <v>46028</v>
      </c>
      <c r="C303" s="11" t="s">
        <v>41</v>
      </c>
      <c r="D303" s="26">
        <v>4287</v>
      </c>
      <c r="E303" s="10" t="s">
        <v>96</v>
      </c>
      <c r="F303" s="26" t="s">
        <v>14</v>
      </c>
      <c r="G303" s="225" t="s">
        <v>71</v>
      </c>
      <c r="H303" s="39">
        <v>1187.03</v>
      </c>
      <c r="I303" s="216">
        <v>46086</v>
      </c>
      <c r="J303" s="7" t="s">
        <v>91</v>
      </c>
      <c r="K303" s="5" t="s">
        <v>81</v>
      </c>
      <c r="L303" s="6">
        <v>46029</v>
      </c>
      <c r="M303" s="26" t="str">
        <f>IF(Tabela4[[#This Row],[RECOMPRADO]]="RECEBIDO","LIQUIDADO",IF(O303="LIQUIDADO","LIQUIDADO",IF(I303&lt;$I$5,"VENCIDO","A VENCER")))</f>
        <v>LIQUIDADO</v>
      </c>
      <c r="N303" s="212" t="str">
        <f>IF(Tabela4[[#This Row],[STATUS]]="LIQUIDADO","",Tabela4[[#This Row],[VCTO]]-$I$5)</f>
        <v/>
      </c>
      <c r="O303" s="26" t="s">
        <v>86</v>
      </c>
      <c r="P303" s="11"/>
      <c r="Q303" s="26"/>
      <c r="R303" s="26"/>
      <c r="S303" s="26"/>
      <c r="T303" s="26"/>
      <c r="U303" s="26"/>
      <c r="V303" s="5"/>
    </row>
    <row r="304" spans="1:22">
      <c r="A304" s="26" t="s">
        <v>0</v>
      </c>
      <c r="B304" s="11">
        <v>46031</v>
      </c>
      <c r="C304" s="11" t="s">
        <v>41</v>
      </c>
      <c r="D304" s="245">
        <v>272</v>
      </c>
      <c r="E304" s="10" t="s">
        <v>92</v>
      </c>
      <c r="F304" s="26" t="s">
        <v>15</v>
      </c>
      <c r="G304" s="225" t="s">
        <v>59</v>
      </c>
      <c r="H304" s="39">
        <v>86080</v>
      </c>
      <c r="I304" s="216">
        <v>46064</v>
      </c>
      <c r="J304" s="7" t="s">
        <v>91</v>
      </c>
      <c r="K304" s="5" t="s">
        <v>75</v>
      </c>
      <c r="L304" s="6">
        <v>46031</v>
      </c>
      <c r="M304" s="26" t="str">
        <f>IF(Tabela4[[#This Row],[RECOMPRADO]]="RECEBIDO","LIQUIDADO",IF(O304="LIQUIDADO","LIQUIDADO",IF(I304&lt;$I$5,"VENCIDO","A VENCER")))</f>
        <v>LIQUIDADO</v>
      </c>
      <c r="N304" s="212" t="str">
        <f>IF(Tabela4[[#This Row],[STATUS]]="LIQUIDADO","",Tabela4[[#This Row],[VCTO]]-$I$5)</f>
        <v/>
      </c>
      <c r="O304" s="26" t="s">
        <v>86</v>
      </c>
      <c r="P304" s="11"/>
      <c r="Q304" s="26"/>
      <c r="R304" s="26"/>
      <c r="S304" s="26"/>
      <c r="T304" s="26" t="s">
        <v>500</v>
      </c>
      <c r="U304" s="26"/>
      <c r="V304" s="5" t="s">
        <v>635</v>
      </c>
    </row>
    <row r="305" spans="1:22">
      <c r="A305" s="26" t="s">
        <v>0</v>
      </c>
      <c r="B305" s="11">
        <v>46031</v>
      </c>
      <c r="C305" s="11" t="s">
        <v>41</v>
      </c>
      <c r="D305" s="26">
        <v>273</v>
      </c>
      <c r="E305" s="10" t="s">
        <v>92</v>
      </c>
      <c r="F305" s="26" t="s">
        <v>16</v>
      </c>
      <c r="G305" s="225" t="s">
        <v>59</v>
      </c>
      <c r="H305" s="39">
        <v>1333.33</v>
      </c>
      <c r="I305" s="216">
        <v>46031</v>
      </c>
      <c r="J305" s="7" t="s">
        <v>90</v>
      </c>
      <c r="K305" s="5" t="s">
        <v>0</v>
      </c>
      <c r="L305" s="6"/>
      <c r="M305" s="26" t="str">
        <f>IF(Tabela4[[#This Row],[RECOMPRADO]]="RECEBIDO","LIQUIDADO",IF(O305="LIQUIDADO","LIQUIDADO",IF(I305&lt;$I$5,"VENCIDO","A VENCER")))</f>
        <v>LIQUIDADO</v>
      </c>
      <c r="N305" s="212" t="str">
        <f>IF(Tabela4[[#This Row],[STATUS]]="LIQUIDADO","",Tabela4[[#This Row],[VCTO]]-$I$5)</f>
        <v/>
      </c>
      <c r="O305" s="26" t="s">
        <v>86</v>
      </c>
      <c r="P305" s="11"/>
      <c r="Q305" s="26"/>
      <c r="R305" s="26"/>
      <c r="S305" s="26"/>
      <c r="T305" s="26"/>
      <c r="U305" s="26"/>
      <c r="V305" s="5"/>
    </row>
    <row r="306" spans="1:22">
      <c r="A306" s="26" t="s">
        <v>0</v>
      </c>
      <c r="B306" s="11">
        <f>B305</f>
        <v>46031</v>
      </c>
      <c r="C306" s="11" t="s">
        <v>41</v>
      </c>
      <c r="D306" s="26">
        <v>273</v>
      </c>
      <c r="E306" s="10" t="s">
        <v>95</v>
      </c>
      <c r="F306" s="26" t="s">
        <v>16</v>
      </c>
      <c r="G306" s="225" t="s">
        <v>59</v>
      </c>
      <c r="H306" s="39">
        <v>1333.33</v>
      </c>
      <c r="I306" s="216">
        <v>46061</v>
      </c>
      <c r="J306" s="7" t="s">
        <v>91</v>
      </c>
      <c r="K306" s="5" t="s">
        <v>81</v>
      </c>
      <c r="L306" s="6">
        <v>46034</v>
      </c>
      <c r="M306" s="26" t="str">
        <f ca="1">IF(Tabela4[[#This Row],[RECOMPRADO]]="RECEBIDO","LIQUIDADO",IF(O306="LIQUIDADO","LIQUIDADO",IF(I306&lt;$I$5,"VENCIDO","A VENCER")))</f>
        <v>VENCIDO</v>
      </c>
      <c r="N306" s="212">
        <f ca="1">IF(Tabela4[[#This Row],[STATUS]]="LIQUIDADO","",Tabela4[[#This Row],[VCTO]]-$I$5)</f>
        <v>-37</v>
      </c>
      <c r="O306" s="5" t="s">
        <v>87</v>
      </c>
      <c r="P306" s="11">
        <v>46080</v>
      </c>
      <c r="Q306" s="26" t="s">
        <v>133</v>
      </c>
      <c r="R306" s="26"/>
      <c r="S306" s="26" t="s">
        <v>0</v>
      </c>
      <c r="T306" s="26" t="s">
        <v>537</v>
      </c>
      <c r="U306" s="26"/>
      <c r="V306" s="5"/>
    </row>
    <row r="307" spans="1:22">
      <c r="A307" s="26" t="s">
        <v>0</v>
      </c>
      <c r="B307" s="11">
        <f>B306</f>
        <v>46031</v>
      </c>
      <c r="C307" s="11" t="s">
        <v>41</v>
      </c>
      <c r="D307" s="26">
        <v>273</v>
      </c>
      <c r="E307" s="10" t="s">
        <v>96</v>
      </c>
      <c r="F307" s="26" t="s">
        <v>16</v>
      </c>
      <c r="G307" s="225" t="s">
        <v>59</v>
      </c>
      <c r="H307" s="39">
        <v>1333.34</v>
      </c>
      <c r="I307" s="216">
        <v>46091</v>
      </c>
      <c r="J307" s="7" t="s">
        <v>91</v>
      </c>
      <c r="K307" s="5" t="s">
        <v>81</v>
      </c>
      <c r="L307" s="6">
        <v>46034</v>
      </c>
      <c r="M307" s="26" t="str">
        <f ca="1">IF(Tabela4[[#This Row],[RECOMPRADO]]="RECEBIDO","LIQUIDADO",IF(O307="LIQUIDADO","LIQUIDADO",IF(I307&lt;$I$5,"VENCIDO","A VENCER")))</f>
        <v>VENCIDO</v>
      </c>
      <c r="N307" s="212">
        <f ca="1">IF(Tabela4[[#This Row],[STATUS]]="LIQUIDADO","",Tabela4[[#This Row],[VCTO]]-$I$5)</f>
        <v>-7</v>
      </c>
      <c r="O307" s="5"/>
      <c r="P307" s="11"/>
      <c r="Q307" s="26"/>
      <c r="R307" s="26"/>
      <c r="S307" s="26"/>
      <c r="T307" s="26" t="s">
        <v>611</v>
      </c>
      <c r="U307" s="26"/>
      <c r="V307" s="5"/>
    </row>
    <row r="308" spans="1:22">
      <c r="A308" s="26" t="s">
        <v>0</v>
      </c>
      <c r="B308" s="11">
        <v>46031</v>
      </c>
      <c r="C308" s="11" t="s">
        <v>41</v>
      </c>
      <c r="D308" s="26">
        <v>274</v>
      </c>
      <c r="E308" s="10" t="s">
        <v>92</v>
      </c>
      <c r="F308" s="26" t="s">
        <v>2</v>
      </c>
      <c r="G308" s="225" t="s">
        <v>58</v>
      </c>
      <c r="H308" s="39">
        <v>760</v>
      </c>
      <c r="I308" s="216">
        <v>46062</v>
      </c>
      <c r="J308" s="7" t="s">
        <v>91</v>
      </c>
      <c r="K308" s="5" t="s">
        <v>75</v>
      </c>
      <c r="L308" s="6">
        <v>46031</v>
      </c>
      <c r="M308" s="26" t="str">
        <f>IF(Tabela4[[#This Row],[RECOMPRADO]]="RECEBIDO","LIQUIDADO",IF(O308="LIQUIDADO","LIQUIDADO",IF(I308&lt;$I$5,"VENCIDO","A VENCER")))</f>
        <v>LIQUIDADO</v>
      </c>
      <c r="N308" s="212" t="str">
        <f>IF(Tabela4[[#This Row],[STATUS]]="LIQUIDADO","",Tabela4[[#This Row],[VCTO]]-$I$5)</f>
        <v/>
      </c>
      <c r="O308" s="26" t="s">
        <v>86</v>
      </c>
      <c r="P308" s="11"/>
      <c r="Q308" s="26"/>
      <c r="R308" s="26"/>
      <c r="S308" s="26"/>
      <c r="T308" s="26"/>
      <c r="U308" s="26"/>
      <c r="V308" s="5"/>
    </row>
    <row r="309" spans="1:22">
      <c r="A309" s="26" t="s">
        <v>0</v>
      </c>
      <c r="B309" s="11">
        <f>B308</f>
        <v>46031</v>
      </c>
      <c r="C309" s="11" t="s">
        <v>41</v>
      </c>
      <c r="D309" s="26">
        <v>274</v>
      </c>
      <c r="E309" s="10" t="s">
        <v>95</v>
      </c>
      <c r="F309" s="26" t="s">
        <v>2</v>
      </c>
      <c r="G309" s="225" t="s">
        <v>58</v>
      </c>
      <c r="H309" s="39">
        <v>760</v>
      </c>
      <c r="I309" s="216">
        <v>46069</v>
      </c>
      <c r="J309" s="7" t="s">
        <v>91</v>
      </c>
      <c r="K309" s="5" t="s">
        <v>75</v>
      </c>
      <c r="L309" s="6">
        <v>46031</v>
      </c>
      <c r="M309" s="26" t="str">
        <f>IF(Tabela4[[#This Row],[RECOMPRADO]]="RECEBIDO","LIQUIDADO",IF(O309="LIQUIDADO","LIQUIDADO",IF(I309&lt;$I$5,"VENCIDO","A VENCER")))</f>
        <v>LIQUIDADO</v>
      </c>
      <c r="N309" s="212" t="str">
        <f>IF(Tabela4[[#This Row],[STATUS]]="LIQUIDADO","",Tabela4[[#This Row],[VCTO]]-$I$5)</f>
        <v/>
      </c>
      <c r="O309" s="26" t="s">
        <v>86</v>
      </c>
      <c r="P309" s="11"/>
      <c r="Q309" s="26"/>
      <c r="R309" s="26"/>
      <c r="S309" s="26"/>
      <c r="T309" s="26"/>
      <c r="U309" s="26"/>
      <c r="V309" s="5"/>
    </row>
    <row r="310" spans="1:22">
      <c r="A310" s="26" t="s">
        <v>0</v>
      </c>
      <c r="B310" s="11">
        <f>B309</f>
        <v>46031</v>
      </c>
      <c r="C310" s="11" t="s">
        <v>41</v>
      </c>
      <c r="D310" s="26">
        <v>274</v>
      </c>
      <c r="E310" s="10" t="s">
        <v>96</v>
      </c>
      <c r="F310" s="26" t="s">
        <v>2</v>
      </c>
      <c r="G310" s="225" t="s">
        <v>58</v>
      </c>
      <c r="H310" s="39">
        <v>760</v>
      </c>
      <c r="I310" s="216">
        <v>46076</v>
      </c>
      <c r="J310" s="7" t="s">
        <v>91</v>
      </c>
      <c r="K310" s="5" t="s">
        <v>75</v>
      </c>
      <c r="L310" s="6">
        <v>46031</v>
      </c>
      <c r="M310" s="26" t="str">
        <f>IF(Tabela4[[#This Row],[RECOMPRADO]]="RECEBIDO","LIQUIDADO",IF(O310="LIQUIDADO","LIQUIDADO",IF(I310&lt;$I$5,"VENCIDO","A VENCER")))</f>
        <v>LIQUIDADO</v>
      </c>
      <c r="N310" s="212" t="str">
        <f>IF(Tabela4[[#This Row],[STATUS]]="LIQUIDADO","",Tabela4[[#This Row],[VCTO]]-$I$5)</f>
        <v/>
      </c>
      <c r="O310" s="26" t="s">
        <v>86</v>
      </c>
      <c r="P310" s="11"/>
      <c r="Q310" s="26"/>
      <c r="R310" s="26"/>
      <c r="S310" s="26"/>
      <c r="T310" s="26"/>
      <c r="U310" s="26"/>
      <c r="V310" s="5"/>
    </row>
    <row r="311" spans="1:22">
      <c r="A311" s="26" t="s">
        <v>0</v>
      </c>
      <c r="B311" s="11">
        <v>46031</v>
      </c>
      <c r="C311" s="11" t="s">
        <v>43</v>
      </c>
      <c r="D311" s="26">
        <v>50274</v>
      </c>
      <c r="E311" s="10" t="s">
        <v>92</v>
      </c>
      <c r="F311" s="26" t="s">
        <v>2</v>
      </c>
      <c r="G311" s="225" t="s">
        <v>58</v>
      </c>
      <c r="H311" s="39">
        <v>760</v>
      </c>
      <c r="I311" s="216">
        <v>46062</v>
      </c>
      <c r="J311" s="7" t="s">
        <v>91</v>
      </c>
      <c r="K311" s="5" t="s">
        <v>77</v>
      </c>
      <c r="L311" s="6">
        <v>46037</v>
      </c>
      <c r="M311" s="26" t="str">
        <f>IF(Tabela4[[#This Row],[RECOMPRADO]]="RECEBIDO","LIQUIDADO",IF(O311="LIQUIDADO","LIQUIDADO",IF(I311&lt;$I$5,"VENCIDO","A VENCER")))</f>
        <v>LIQUIDADO</v>
      </c>
      <c r="N311" s="212" t="str">
        <f>IF(Tabela4[[#This Row],[STATUS]]="LIQUIDADO","",Tabela4[[#This Row],[VCTO]]-$I$5)</f>
        <v/>
      </c>
      <c r="O311" s="26" t="s">
        <v>86</v>
      </c>
      <c r="P311" s="11"/>
      <c r="Q311" s="26"/>
      <c r="R311" s="26"/>
      <c r="S311" s="26"/>
      <c r="T311" s="26"/>
      <c r="U311" s="26"/>
      <c r="V311" s="5"/>
    </row>
    <row r="312" spans="1:22">
      <c r="A312" s="26" t="s">
        <v>0</v>
      </c>
      <c r="B312" s="11">
        <f>B311</f>
        <v>46031</v>
      </c>
      <c r="C312" s="11" t="s">
        <v>43</v>
      </c>
      <c r="D312" s="26">
        <v>50274</v>
      </c>
      <c r="E312" s="10" t="s">
        <v>95</v>
      </c>
      <c r="F312" s="26" t="s">
        <v>2</v>
      </c>
      <c r="G312" s="225" t="s">
        <v>58</v>
      </c>
      <c r="H312" s="39">
        <v>760</v>
      </c>
      <c r="I312" s="216">
        <v>46069</v>
      </c>
      <c r="J312" s="7" t="s">
        <v>91</v>
      </c>
      <c r="K312" s="5" t="s">
        <v>77</v>
      </c>
      <c r="L312" s="6">
        <v>46037</v>
      </c>
      <c r="M312" s="26" t="str">
        <f>IF(Tabela4[[#This Row],[RECOMPRADO]]="RECEBIDO","LIQUIDADO",IF(O312="LIQUIDADO","LIQUIDADO",IF(I312&lt;$I$5,"VENCIDO","A VENCER")))</f>
        <v>LIQUIDADO</v>
      </c>
      <c r="N312" s="212" t="str">
        <f>IF(Tabela4[[#This Row],[STATUS]]="LIQUIDADO","",Tabela4[[#This Row],[VCTO]]-$I$5)</f>
        <v/>
      </c>
      <c r="O312" s="5" t="s">
        <v>86</v>
      </c>
      <c r="P312" s="11"/>
      <c r="Q312" s="26"/>
      <c r="R312" s="26"/>
      <c r="S312" s="26"/>
      <c r="T312" s="26"/>
      <c r="U312" s="26"/>
      <c r="V312" s="5"/>
    </row>
    <row r="313" spans="1:22">
      <c r="A313" s="26" t="s">
        <v>0</v>
      </c>
      <c r="B313" s="11">
        <f>B312</f>
        <v>46031</v>
      </c>
      <c r="C313" s="11" t="s">
        <v>43</v>
      </c>
      <c r="D313" s="26">
        <v>50274</v>
      </c>
      <c r="E313" s="10" t="s">
        <v>96</v>
      </c>
      <c r="F313" s="26" t="s">
        <v>2</v>
      </c>
      <c r="G313" s="225" t="s">
        <v>58</v>
      </c>
      <c r="H313" s="39">
        <v>760</v>
      </c>
      <c r="I313" s="216">
        <v>46076</v>
      </c>
      <c r="J313" s="7" t="s">
        <v>91</v>
      </c>
      <c r="K313" s="5" t="s">
        <v>77</v>
      </c>
      <c r="L313" s="6">
        <v>46037</v>
      </c>
      <c r="M313" s="26" t="str">
        <f>IF(Tabela4[[#This Row],[RECOMPRADO]]="RECEBIDO","LIQUIDADO",IF(O313="LIQUIDADO","LIQUIDADO",IF(I313&lt;$I$5,"VENCIDO","A VENCER")))</f>
        <v>LIQUIDADO</v>
      </c>
      <c r="N313" s="212" t="str">
        <f>IF(Tabela4[[#This Row],[STATUS]]="LIQUIDADO","",Tabela4[[#This Row],[VCTO]]-$I$5)</f>
        <v/>
      </c>
      <c r="O313" s="5" t="s">
        <v>86</v>
      </c>
      <c r="P313" s="11"/>
      <c r="Q313" s="26"/>
      <c r="R313" s="26"/>
      <c r="S313" s="26"/>
      <c r="T313" s="26"/>
      <c r="U313" s="26"/>
      <c r="V313" s="5"/>
    </row>
    <row r="314" spans="1:22">
      <c r="A314" s="26" t="s">
        <v>0</v>
      </c>
      <c r="B314" s="11">
        <v>46031</v>
      </c>
      <c r="C314" s="11" t="s">
        <v>41</v>
      </c>
      <c r="D314" s="26">
        <v>275</v>
      </c>
      <c r="E314" s="10" t="s">
        <v>92</v>
      </c>
      <c r="F314" s="26" t="s">
        <v>17</v>
      </c>
      <c r="G314" s="225" t="s">
        <v>57</v>
      </c>
      <c r="H314" s="39">
        <v>1326.67</v>
      </c>
      <c r="I314" s="216">
        <v>46063</v>
      </c>
      <c r="J314" s="7" t="s">
        <v>91</v>
      </c>
      <c r="K314" s="5" t="s">
        <v>75</v>
      </c>
      <c r="L314" s="6">
        <v>46031</v>
      </c>
      <c r="M314" s="26" t="str">
        <f>IF(Tabela4[[#This Row],[RECOMPRADO]]="RECEBIDO","LIQUIDADO",IF(O314="LIQUIDADO","LIQUIDADO",IF(I314&lt;$I$5,"VENCIDO","A VENCER")))</f>
        <v>LIQUIDADO</v>
      </c>
      <c r="N314" s="212" t="str">
        <f>IF(Tabela4[[#This Row],[STATUS]]="LIQUIDADO","",Tabela4[[#This Row],[VCTO]]-$I$5)</f>
        <v/>
      </c>
      <c r="O314" s="26" t="s">
        <v>86</v>
      </c>
      <c r="P314" s="11"/>
      <c r="Q314" s="26"/>
      <c r="R314" s="26"/>
      <c r="S314" s="26"/>
      <c r="T314" s="26"/>
      <c r="U314" s="26"/>
      <c r="V314" s="5"/>
    </row>
    <row r="315" spans="1:22">
      <c r="A315" s="26" t="s">
        <v>0</v>
      </c>
      <c r="B315" s="11">
        <f>B314</f>
        <v>46031</v>
      </c>
      <c r="C315" s="11" t="s">
        <v>41</v>
      </c>
      <c r="D315" s="26">
        <v>275</v>
      </c>
      <c r="E315" s="10" t="s">
        <v>95</v>
      </c>
      <c r="F315" s="26" t="s">
        <v>17</v>
      </c>
      <c r="G315" s="225" t="s">
        <v>57</v>
      </c>
      <c r="H315" s="39">
        <v>1326.67</v>
      </c>
      <c r="I315" s="216">
        <v>46070</v>
      </c>
      <c r="J315" s="7" t="s">
        <v>91</v>
      </c>
      <c r="K315" s="5" t="s">
        <v>75</v>
      </c>
      <c r="L315" s="6">
        <v>46031</v>
      </c>
      <c r="M315" s="26" t="str">
        <f>IF(Tabela4[[#This Row],[RECOMPRADO]]="RECEBIDO","LIQUIDADO",IF(O315="LIQUIDADO","LIQUIDADO",IF(I315&lt;$I$5,"VENCIDO","A VENCER")))</f>
        <v>LIQUIDADO</v>
      </c>
      <c r="N315" s="212" t="str">
        <f>IF(Tabela4[[#This Row],[STATUS]]="LIQUIDADO","",Tabela4[[#This Row],[VCTO]]-$I$5)</f>
        <v/>
      </c>
      <c r="O315" s="26" t="s">
        <v>86</v>
      </c>
      <c r="P315" s="11"/>
      <c r="Q315" s="26"/>
      <c r="R315" s="26"/>
      <c r="S315" s="26"/>
      <c r="T315" s="26"/>
      <c r="U315" s="26"/>
      <c r="V315" s="5"/>
    </row>
    <row r="316" spans="1:22">
      <c r="A316" s="26" t="s">
        <v>0</v>
      </c>
      <c r="B316" s="11">
        <f>B315</f>
        <v>46031</v>
      </c>
      <c r="C316" s="11" t="s">
        <v>41</v>
      </c>
      <c r="D316" s="26">
        <v>275</v>
      </c>
      <c r="E316" s="10" t="s">
        <v>96</v>
      </c>
      <c r="F316" s="26" t="s">
        <v>17</v>
      </c>
      <c r="G316" s="225" t="s">
        <v>57</v>
      </c>
      <c r="H316" s="39">
        <v>1326.66</v>
      </c>
      <c r="I316" s="216">
        <v>46077</v>
      </c>
      <c r="J316" s="7" t="s">
        <v>91</v>
      </c>
      <c r="K316" s="5" t="s">
        <v>75</v>
      </c>
      <c r="L316" s="6">
        <v>46031</v>
      </c>
      <c r="M316" s="26" t="str">
        <f>IF(Tabela4[[#This Row],[RECOMPRADO]]="RECEBIDO","LIQUIDADO",IF(O316="LIQUIDADO","LIQUIDADO",IF(I316&lt;$I$5,"VENCIDO","A VENCER")))</f>
        <v>LIQUIDADO</v>
      </c>
      <c r="N316" s="212" t="str">
        <f>IF(Tabela4[[#This Row],[STATUS]]="LIQUIDADO","",Tabela4[[#This Row],[VCTO]]-$I$5)</f>
        <v/>
      </c>
      <c r="O316" s="26" t="s">
        <v>86</v>
      </c>
      <c r="P316" s="11"/>
      <c r="Q316" s="26"/>
      <c r="R316" s="26"/>
      <c r="S316" s="26"/>
      <c r="T316" s="26"/>
      <c r="U316" s="26"/>
      <c r="V316" s="5"/>
    </row>
    <row r="317" spans="1:22">
      <c r="A317" s="26" t="s">
        <v>0</v>
      </c>
      <c r="B317" s="11">
        <v>46031</v>
      </c>
      <c r="C317" s="11" t="s">
        <v>41</v>
      </c>
      <c r="D317" s="26">
        <v>276</v>
      </c>
      <c r="E317" s="10" t="s">
        <v>92</v>
      </c>
      <c r="F317" s="26" t="s">
        <v>18</v>
      </c>
      <c r="G317" s="225" t="s">
        <v>57</v>
      </c>
      <c r="H317" s="39">
        <v>1561.66</v>
      </c>
      <c r="I317" s="216">
        <v>46064</v>
      </c>
      <c r="J317" s="7" t="s">
        <v>91</v>
      </c>
      <c r="K317" s="5" t="s">
        <v>75</v>
      </c>
      <c r="L317" s="6">
        <v>46031</v>
      </c>
      <c r="M317" s="26" t="str">
        <f>IF(Tabela4[[#This Row],[RECOMPRADO]]="RECEBIDO","LIQUIDADO",IF(O317="LIQUIDADO","LIQUIDADO",IF(I317&lt;$I$5,"VENCIDO","A VENCER")))</f>
        <v>LIQUIDADO</v>
      </c>
      <c r="N317" s="212" t="str">
        <f>IF(Tabela4[[#This Row],[STATUS]]="LIQUIDADO","",Tabela4[[#This Row],[VCTO]]-$I$5)</f>
        <v/>
      </c>
      <c r="O317" s="26" t="s">
        <v>86</v>
      </c>
      <c r="P317" s="11"/>
      <c r="Q317" s="26"/>
      <c r="R317" s="26"/>
      <c r="S317" s="26"/>
      <c r="T317" s="26"/>
      <c r="U317" s="26"/>
      <c r="V317" s="5"/>
    </row>
    <row r="318" spans="1:22">
      <c r="A318" s="26" t="s">
        <v>0</v>
      </c>
      <c r="B318" s="11">
        <f>B317</f>
        <v>46031</v>
      </c>
      <c r="C318" s="11" t="s">
        <v>41</v>
      </c>
      <c r="D318" s="26">
        <v>276</v>
      </c>
      <c r="E318" s="10" t="s">
        <v>95</v>
      </c>
      <c r="F318" s="26" t="s">
        <v>18</v>
      </c>
      <c r="G318" s="225" t="s">
        <v>57</v>
      </c>
      <c r="H318" s="39">
        <v>1561.67</v>
      </c>
      <c r="I318" s="216">
        <v>46071</v>
      </c>
      <c r="J318" s="7" t="s">
        <v>91</v>
      </c>
      <c r="K318" s="5" t="s">
        <v>75</v>
      </c>
      <c r="L318" s="6">
        <v>46031</v>
      </c>
      <c r="M318" s="26" t="str">
        <f>IF(Tabela4[[#This Row],[RECOMPRADO]]="RECEBIDO","LIQUIDADO",IF(O318="LIQUIDADO","LIQUIDADO",IF(I318&lt;$I$5,"VENCIDO","A VENCER")))</f>
        <v>LIQUIDADO</v>
      </c>
      <c r="N318" s="212" t="str">
        <f>IF(Tabela4[[#This Row],[STATUS]]="LIQUIDADO","",Tabela4[[#This Row],[VCTO]]-$I$5)</f>
        <v/>
      </c>
      <c r="O318" s="5" t="s">
        <v>86</v>
      </c>
      <c r="P318" s="11"/>
      <c r="Q318" s="26"/>
      <c r="R318" s="26"/>
      <c r="S318" s="26"/>
      <c r="T318" s="26"/>
      <c r="U318" s="26"/>
      <c r="V318" s="5"/>
    </row>
    <row r="319" spans="1:22">
      <c r="A319" s="26" t="s">
        <v>0</v>
      </c>
      <c r="B319" s="11">
        <f>B318</f>
        <v>46031</v>
      </c>
      <c r="C319" s="11" t="s">
        <v>41</v>
      </c>
      <c r="D319" s="26">
        <v>276</v>
      </c>
      <c r="E319" s="10" t="s">
        <v>96</v>
      </c>
      <c r="F319" s="26" t="s">
        <v>18</v>
      </c>
      <c r="G319" s="225" t="s">
        <v>57</v>
      </c>
      <c r="H319" s="39">
        <v>1561.67</v>
      </c>
      <c r="I319" s="216">
        <v>46078</v>
      </c>
      <c r="J319" s="7" t="s">
        <v>91</v>
      </c>
      <c r="K319" s="5" t="s">
        <v>75</v>
      </c>
      <c r="L319" s="6">
        <v>46031</v>
      </c>
      <c r="M319" s="26" t="str">
        <f>IF(Tabela4[[#This Row],[RECOMPRADO]]="RECEBIDO","LIQUIDADO",IF(O319="LIQUIDADO","LIQUIDADO",IF(I319&lt;$I$5,"VENCIDO","A VENCER")))</f>
        <v>LIQUIDADO</v>
      </c>
      <c r="N319" s="212" t="str">
        <f>IF(Tabela4[[#This Row],[STATUS]]="LIQUIDADO","",Tabela4[[#This Row],[VCTO]]-$I$5)</f>
        <v/>
      </c>
      <c r="O319" s="5" t="s">
        <v>86</v>
      </c>
      <c r="P319" s="11"/>
      <c r="Q319" s="26"/>
      <c r="R319" s="26"/>
      <c r="S319" s="26"/>
      <c r="T319" s="26"/>
      <c r="U319" s="26"/>
      <c r="V319" s="5"/>
    </row>
    <row r="320" spans="1:22">
      <c r="A320" s="26" t="s">
        <v>0</v>
      </c>
      <c r="B320" s="11">
        <v>46031</v>
      </c>
      <c r="C320" s="11" t="s">
        <v>43</v>
      </c>
      <c r="D320" s="26">
        <v>276</v>
      </c>
      <c r="E320" s="10" t="s">
        <v>92</v>
      </c>
      <c r="F320" s="26" t="s">
        <v>18</v>
      </c>
      <c r="G320" s="225" t="s">
        <v>56</v>
      </c>
      <c r="H320" s="39">
        <v>1561.66</v>
      </c>
      <c r="I320" s="216">
        <v>46064</v>
      </c>
      <c r="J320" s="7" t="s">
        <v>91</v>
      </c>
      <c r="K320" s="5" t="s">
        <v>77</v>
      </c>
      <c r="L320" s="6">
        <v>46037</v>
      </c>
      <c r="M320" s="26" t="str">
        <f>IF(Tabela4[[#This Row],[RECOMPRADO]]="RECEBIDO","LIQUIDADO",IF(O320="LIQUIDADO","LIQUIDADO",IF(I320&lt;$I$5,"VENCIDO","A VENCER")))</f>
        <v>LIQUIDADO</v>
      </c>
      <c r="N320" s="212" t="str">
        <f>IF(Tabela4[[#This Row],[STATUS]]="LIQUIDADO","",Tabela4[[#This Row],[VCTO]]-$I$5)</f>
        <v/>
      </c>
      <c r="O320" s="26" t="s">
        <v>86</v>
      </c>
      <c r="P320" s="11"/>
      <c r="Q320" s="26"/>
      <c r="R320" s="26"/>
      <c r="S320" s="26"/>
      <c r="T320" s="26"/>
      <c r="U320" s="26"/>
      <c r="V320" s="5"/>
    </row>
    <row r="321" spans="1:22">
      <c r="A321" s="26" t="s">
        <v>0</v>
      </c>
      <c r="B321" s="11">
        <f>B320</f>
        <v>46031</v>
      </c>
      <c r="C321" s="11" t="s">
        <v>43</v>
      </c>
      <c r="D321" s="26">
        <v>276</v>
      </c>
      <c r="E321" s="10" t="s">
        <v>95</v>
      </c>
      <c r="F321" s="26" t="s">
        <v>18</v>
      </c>
      <c r="G321" s="225" t="s">
        <v>56</v>
      </c>
      <c r="H321" s="39">
        <v>1561.67</v>
      </c>
      <c r="I321" s="216">
        <v>46071</v>
      </c>
      <c r="J321" s="7" t="s">
        <v>91</v>
      </c>
      <c r="K321" s="5" t="s">
        <v>77</v>
      </c>
      <c r="L321" s="6">
        <v>46037</v>
      </c>
      <c r="M321" s="26" t="str">
        <f>IF(Tabela4[[#This Row],[RECOMPRADO]]="RECEBIDO","LIQUIDADO",IF(O321="LIQUIDADO","LIQUIDADO",IF(I321&lt;$I$5,"VENCIDO","A VENCER")))</f>
        <v>LIQUIDADO</v>
      </c>
      <c r="N321" s="212" t="str">
        <f>IF(Tabela4[[#This Row],[STATUS]]="LIQUIDADO","",Tabela4[[#This Row],[VCTO]]-$I$5)</f>
        <v/>
      </c>
      <c r="O321" s="26" t="s">
        <v>86</v>
      </c>
      <c r="P321" s="11"/>
      <c r="Q321" s="26"/>
      <c r="R321" s="26"/>
      <c r="S321" s="26"/>
      <c r="T321" s="26"/>
      <c r="U321" s="26"/>
      <c r="V321" s="5"/>
    </row>
    <row r="322" spans="1:22">
      <c r="A322" s="26" t="s">
        <v>0</v>
      </c>
      <c r="B322" s="11">
        <f>B321</f>
        <v>46031</v>
      </c>
      <c r="C322" s="11" t="s">
        <v>43</v>
      </c>
      <c r="D322" s="26">
        <v>276</v>
      </c>
      <c r="E322" s="10" t="s">
        <v>96</v>
      </c>
      <c r="F322" s="26" t="s">
        <v>18</v>
      </c>
      <c r="G322" s="225" t="s">
        <v>56</v>
      </c>
      <c r="H322" s="39">
        <v>1561.67</v>
      </c>
      <c r="I322" s="216">
        <v>46078</v>
      </c>
      <c r="J322" s="7" t="s">
        <v>91</v>
      </c>
      <c r="K322" s="5" t="s">
        <v>77</v>
      </c>
      <c r="L322" s="6">
        <v>46037</v>
      </c>
      <c r="M322" s="26" t="str">
        <f>IF(Tabela4[[#This Row],[RECOMPRADO]]="RECEBIDO","LIQUIDADO",IF(O322="LIQUIDADO","LIQUIDADO",IF(I322&lt;$I$5,"VENCIDO","A VENCER")))</f>
        <v>LIQUIDADO</v>
      </c>
      <c r="N322" s="212" t="str">
        <f>IF(Tabela4[[#This Row],[STATUS]]="LIQUIDADO","",Tabela4[[#This Row],[VCTO]]-$I$5)</f>
        <v/>
      </c>
      <c r="O322" s="26" t="s">
        <v>86</v>
      </c>
      <c r="P322" s="11"/>
      <c r="Q322" s="26"/>
      <c r="R322" s="26"/>
      <c r="S322" s="26"/>
      <c r="T322" s="26"/>
      <c r="U322" s="26"/>
      <c r="V322" s="5"/>
    </row>
    <row r="323" spans="1:22">
      <c r="A323" s="26" t="s">
        <v>0</v>
      </c>
      <c r="B323" s="11">
        <v>46031</v>
      </c>
      <c r="C323" s="11" t="s">
        <v>41</v>
      </c>
      <c r="D323" s="26">
        <v>277</v>
      </c>
      <c r="E323" s="10" t="s">
        <v>92</v>
      </c>
      <c r="F323" s="26" t="s">
        <v>19</v>
      </c>
      <c r="G323" s="225" t="s">
        <v>55</v>
      </c>
      <c r="H323" s="39">
        <v>1454.7</v>
      </c>
      <c r="I323" s="216">
        <v>46079</v>
      </c>
      <c r="J323" s="7" t="s">
        <v>91</v>
      </c>
      <c r="K323" s="5" t="s">
        <v>75</v>
      </c>
      <c r="L323" s="6">
        <v>46031</v>
      </c>
      <c r="M323" s="26" t="str">
        <f>IF(Tabela4[[#This Row],[RECOMPRADO]]="RECEBIDO","LIQUIDADO",IF(O323="LIQUIDADO","LIQUIDADO",IF(I323&lt;$I$5,"VENCIDO","A VENCER")))</f>
        <v>LIQUIDADO</v>
      </c>
      <c r="N323" s="212" t="str">
        <f>IF(Tabela4[[#This Row],[STATUS]]="LIQUIDADO","",Tabela4[[#This Row],[VCTO]]-$I$5)</f>
        <v/>
      </c>
      <c r="O323" s="26" t="s">
        <v>86</v>
      </c>
      <c r="P323" s="11"/>
      <c r="Q323" s="26"/>
      <c r="R323" s="26"/>
      <c r="S323" s="26"/>
      <c r="T323" s="26"/>
      <c r="U323" s="26"/>
      <c r="V323" s="5"/>
    </row>
    <row r="324" spans="1:22">
      <c r="A324" s="26" t="s">
        <v>0</v>
      </c>
      <c r="B324" s="11">
        <f>B323</f>
        <v>46031</v>
      </c>
      <c r="C324" s="11" t="s">
        <v>41</v>
      </c>
      <c r="D324" s="26">
        <v>277</v>
      </c>
      <c r="E324" s="10" t="s">
        <v>95</v>
      </c>
      <c r="F324" s="26" t="s">
        <v>19</v>
      </c>
      <c r="G324" s="225" t="s">
        <v>55</v>
      </c>
      <c r="H324" s="39">
        <v>1454.7</v>
      </c>
      <c r="I324" s="216">
        <v>46086</v>
      </c>
      <c r="J324" s="7" t="s">
        <v>91</v>
      </c>
      <c r="K324" s="5" t="s">
        <v>75</v>
      </c>
      <c r="L324" s="6">
        <v>46031</v>
      </c>
      <c r="M324" s="26" t="str">
        <f>IF(Tabela4[[#This Row],[RECOMPRADO]]="RECEBIDO","LIQUIDADO",IF(O324="LIQUIDADO","LIQUIDADO",IF(I324&lt;$I$5,"VENCIDO","A VENCER")))</f>
        <v>LIQUIDADO</v>
      </c>
      <c r="N324" s="212" t="str">
        <f>IF(Tabela4[[#This Row],[STATUS]]="LIQUIDADO","",Tabela4[[#This Row],[VCTO]]-$I$5)</f>
        <v/>
      </c>
      <c r="O324" s="5" t="s">
        <v>86</v>
      </c>
      <c r="P324" s="11"/>
      <c r="Q324" s="26"/>
      <c r="R324" s="26"/>
      <c r="S324" s="26"/>
      <c r="T324" s="26"/>
      <c r="U324" s="26"/>
      <c r="V324" s="5"/>
    </row>
    <row r="325" spans="1:22">
      <c r="A325" s="26" t="s">
        <v>0</v>
      </c>
      <c r="B325" s="11">
        <f>B324</f>
        <v>46031</v>
      </c>
      <c r="C325" s="11" t="s">
        <v>41</v>
      </c>
      <c r="D325" s="26">
        <v>277</v>
      </c>
      <c r="E325" s="10" t="s">
        <v>96</v>
      </c>
      <c r="F325" s="26" t="s">
        <v>19</v>
      </c>
      <c r="G325" s="225" t="s">
        <v>55</v>
      </c>
      <c r="H325" s="39">
        <v>1454.7</v>
      </c>
      <c r="I325" s="216">
        <v>46093</v>
      </c>
      <c r="J325" s="7" t="s">
        <v>91</v>
      </c>
      <c r="K325" s="5" t="s">
        <v>75</v>
      </c>
      <c r="L325" s="6">
        <v>46031</v>
      </c>
      <c r="M325" s="26" t="str">
        <f>IF(Tabela4[[#This Row],[RECOMPRADO]]="RECEBIDO","LIQUIDADO",IF(O325="LIQUIDADO","LIQUIDADO",IF(I325&lt;$I$5,"VENCIDO","A VENCER")))</f>
        <v>LIQUIDADO</v>
      </c>
      <c r="N325" s="212" t="str">
        <f>IF(Tabela4[[#This Row],[STATUS]]="LIQUIDADO","",Tabela4[[#This Row],[VCTO]]-$I$5)</f>
        <v/>
      </c>
      <c r="O325" s="5" t="s">
        <v>86</v>
      </c>
      <c r="P325" s="11"/>
      <c r="Q325" s="26"/>
      <c r="R325" s="26"/>
      <c r="S325" s="26"/>
      <c r="T325" s="26"/>
      <c r="U325" s="26"/>
      <c r="V325" s="5"/>
    </row>
    <row r="326" spans="1:22">
      <c r="A326" s="26" t="s">
        <v>0</v>
      </c>
      <c r="B326" s="11">
        <f>B325</f>
        <v>46031</v>
      </c>
      <c r="C326" s="11" t="s">
        <v>41</v>
      </c>
      <c r="D326" s="26">
        <v>277</v>
      </c>
      <c r="E326" s="10" t="s">
        <v>97</v>
      </c>
      <c r="F326" s="26" t="s">
        <v>19</v>
      </c>
      <c r="G326" s="225" t="s">
        <v>55</v>
      </c>
      <c r="H326" s="39">
        <v>1454.7</v>
      </c>
      <c r="I326" s="216">
        <v>46100</v>
      </c>
      <c r="J326" s="7" t="s">
        <v>91</v>
      </c>
      <c r="K326" s="5" t="s">
        <v>75</v>
      </c>
      <c r="L326" s="6">
        <v>46031</v>
      </c>
      <c r="M326" s="26" t="str">
        <f ca="1">IF(Tabela4[[#This Row],[RECOMPRADO]]="RECEBIDO","LIQUIDADO",IF(O326="LIQUIDADO","LIQUIDADO",IF(I326&lt;$I$5,"VENCIDO","A VENCER")))</f>
        <v>A VENCER</v>
      </c>
      <c r="N326" s="212">
        <f ca="1">IF(Tabela4[[#This Row],[STATUS]]="LIQUIDADO","",Tabela4[[#This Row],[VCTO]]-$I$5)</f>
        <v>2</v>
      </c>
      <c r="O326" s="26"/>
      <c r="P326" s="11"/>
      <c r="Q326" s="26"/>
      <c r="R326" s="26"/>
      <c r="S326" s="26"/>
      <c r="T326" s="26"/>
      <c r="U326" s="26"/>
      <c r="V326" s="5"/>
    </row>
    <row r="327" spans="1:22">
      <c r="A327" s="26" t="s">
        <v>0</v>
      </c>
      <c r="B327" s="11">
        <f>B326</f>
        <v>46031</v>
      </c>
      <c r="C327" s="11" t="s">
        <v>41</v>
      </c>
      <c r="D327" s="26">
        <v>277</v>
      </c>
      <c r="E327" s="10" t="s">
        <v>98</v>
      </c>
      <c r="F327" s="26" t="s">
        <v>19</v>
      </c>
      <c r="G327" s="225" t="s">
        <v>55</v>
      </c>
      <c r="H327" s="39">
        <v>1454.7</v>
      </c>
      <c r="I327" s="216">
        <v>46107</v>
      </c>
      <c r="J327" s="7" t="s">
        <v>91</v>
      </c>
      <c r="K327" s="5" t="s">
        <v>75</v>
      </c>
      <c r="L327" s="6">
        <v>46031</v>
      </c>
      <c r="M327" s="26" t="str">
        <f ca="1">IF(Tabela4[[#This Row],[RECOMPRADO]]="RECEBIDO","LIQUIDADO",IF(O327="LIQUIDADO","LIQUIDADO",IF(I327&lt;$I$5,"VENCIDO","A VENCER")))</f>
        <v>A VENCER</v>
      </c>
      <c r="N327" s="212">
        <f ca="1">IF(Tabela4[[#This Row],[STATUS]]="LIQUIDADO","",Tabela4[[#This Row],[VCTO]]-$I$5)</f>
        <v>9</v>
      </c>
      <c r="O327" s="26"/>
      <c r="P327" s="11"/>
      <c r="Q327" s="26"/>
      <c r="R327" s="26"/>
      <c r="S327" s="26"/>
      <c r="T327" s="26"/>
      <c r="U327" s="26"/>
      <c r="V327" s="5"/>
    </row>
    <row r="328" spans="1:22">
      <c r="A328" s="26" t="s">
        <v>0</v>
      </c>
      <c r="B328" s="11">
        <f>B327</f>
        <v>46031</v>
      </c>
      <c r="C328" s="11" t="s">
        <v>41</v>
      </c>
      <c r="D328" s="26">
        <v>277</v>
      </c>
      <c r="E328" s="10" t="s">
        <v>99</v>
      </c>
      <c r="F328" s="26" t="s">
        <v>19</v>
      </c>
      <c r="G328" s="225" t="s">
        <v>55</v>
      </c>
      <c r="H328" s="39">
        <v>1454.7</v>
      </c>
      <c r="I328" s="216">
        <v>46116</v>
      </c>
      <c r="J328" s="7" t="s">
        <v>91</v>
      </c>
      <c r="K328" s="5" t="s">
        <v>75</v>
      </c>
      <c r="L328" s="6">
        <v>46031</v>
      </c>
      <c r="M328" s="26" t="str">
        <f ca="1">IF(Tabela4[[#This Row],[RECOMPRADO]]="RECEBIDO","LIQUIDADO",IF(O328="LIQUIDADO","LIQUIDADO",IF(I328&lt;$I$5,"VENCIDO","A VENCER")))</f>
        <v>A VENCER</v>
      </c>
      <c r="N328" s="212">
        <f ca="1">IF(Tabela4[[#This Row],[STATUS]]="LIQUIDADO","",Tabela4[[#This Row],[VCTO]]-$I$5)</f>
        <v>18</v>
      </c>
      <c r="O328" s="26"/>
      <c r="P328" s="11"/>
      <c r="Q328" s="26"/>
      <c r="R328" s="26"/>
      <c r="S328" s="26"/>
      <c r="T328" s="26"/>
      <c r="U328" s="26"/>
      <c r="V328" s="5"/>
    </row>
    <row r="329" spans="1:22">
      <c r="A329" s="26" t="s">
        <v>0</v>
      </c>
      <c r="B329" s="11">
        <v>46031</v>
      </c>
      <c r="C329" s="11" t="s">
        <v>41</v>
      </c>
      <c r="D329" s="26">
        <v>278</v>
      </c>
      <c r="E329" s="10" t="s">
        <v>92</v>
      </c>
      <c r="F329" s="26" t="s">
        <v>20</v>
      </c>
      <c r="G329" s="225" t="s">
        <v>53</v>
      </c>
      <c r="H329" s="39">
        <v>7401.25</v>
      </c>
      <c r="I329" s="216">
        <v>46064</v>
      </c>
      <c r="J329" s="7" t="s">
        <v>91</v>
      </c>
      <c r="K329" s="5" t="s">
        <v>81</v>
      </c>
      <c r="L329" s="6">
        <v>46034</v>
      </c>
      <c r="M329" s="26" t="str">
        <f>IF(Tabela4[[#This Row],[RECOMPRADO]]="RECEBIDO","LIQUIDADO",IF(O329="LIQUIDADO","LIQUIDADO",IF(I329&lt;$I$5,"VENCIDO","A VENCER")))</f>
        <v>LIQUIDADO</v>
      </c>
      <c r="N329" s="212" t="str">
        <f>IF(Tabela4[[#This Row],[STATUS]]="LIQUIDADO","",Tabela4[[#This Row],[VCTO]]-$I$5)</f>
        <v/>
      </c>
      <c r="O329" s="26" t="s">
        <v>86</v>
      </c>
      <c r="P329" s="11"/>
      <c r="Q329" s="26"/>
      <c r="R329" s="26"/>
      <c r="S329" s="26"/>
      <c r="T329" s="26" t="s">
        <v>522</v>
      </c>
      <c r="U329" s="26"/>
      <c r="V329" s="5"/>
    </row>
    <row r="330" spans="1:22">
      <c r="A330" s="26" t="s">
        <v>0</v>
      </c>
      <c r="B330" s="11">
        <f>B329</f>
        <v>46031</v>
      </c>
      <c r="C330" s="11" t="s">
        <v>41</v>
      </c>
      <c r="D330" s="26">
        <v>278</v>
      </c>
      <c r="E330" s="10" t="s">
        <v>95</v>
      </c>
      <c r="F330" s="26" t="s">
        <v>20</v>
      </c>
      <c r="G330" s="225" t="s">
        <v>53</v>
      </c>
      <c r="H330" s="39">
        <v>7401.25</v>
      </c>
      <c r="I330" s="216">
        <v>46078</v>
      </c>
      <c r="J330" s="7" t="s">
        <v>91</v>
      </c>
      <c r="K330" s="5" t="s">
        <v>81</v>
      </c>
      <c r="L330" s="6">
        <v>46034</v>
      </c>
      <c r="M330" s="26" t="str">
        <f ca="1">IF(Tabela4[[#This Row],[RECOMPRADO]]="RECEBIDO","LIQUIDADO",IF(O330="LIQUIDADO","LIQUIDADO",IF(I330&lt;$I$5,"VENCIDO","A VENCER")))</f>
        <v>VENCIDO</v>
      </c>
      <c r="N330" s="212">
        <f ca="1">IF(Tabela4[[#This Row],[STATUS]]="LIQUIDADO","",Tabela4[[#This Row],[VCTO]]-$I$5)</f>
        <v>-20</v>
      </c>
      <c r="O330" s="5" t="s">
        <v>87</v>
      </c>
      <c r="P330" s="11">
        <v>46078</v>
      </c>
      <c r="Q330" s="26"/>
      <c r="R330" s="26"/>
      <c r="S330" s="26"/>
      <c r="T330" s="26" t="s">
        <v>647</v>
      </c>
      <c r="U330" s="26"/>
      <c r="V330" s="5"/>
    </row>
    <row r="331" spans="1:22">
      <c r="A331" s="26" t="s">
        <v>0</v>
      </c>
      <c r="B331" s="11">
        <f>B330</f>
        <v>46031</v>
      </c>
      <c r="C331" s="11" t="s">
        <v>41</v>
      </c>
      <c r="D331" s="26">
        <v>278</v>
      </c>
      <c r="E331" s="10" t="s">
        <v>96</v>
      </c>
      <c r="F331" s="26" t="s">
        <v>20</v>
      </c>
      <c r="G331" s="225" t="s">
        <v>53</v>
      </c>
      <c r="H331" s="39">
        <v>7401.25</v>
      </c>
      <c r="I331" s="216">
        <v>46092</v>
      </c>
      <c r="J331" s="7" t="s">
        <v>91</v>
      </c>
      <c r="K331" s="5" t="s">
        <v>81</v>
      </c>
      <c r="L331" s="6">
        <v>46034</v>
      </c>
      <c r="M331" s="26" t="str">
        <f ca="1">IF(Tabela4[[#This Row],[RECOMPRADO]]="RECEBIDO","LIQUIDADO",IF(O331="LIQUIDADO","LIQUIDADO",IF(I331&lt;$I$5,"VENCIDO","A VENCER")))</f>
        <v>VENCIDO</v>
      </c>
      <c r="N331" s="212">
        <f ca="1">IF(Tabela4[[#This Row],[STATUS]]="LIQUIDADO","",Tabela4[[#This Row],[VCTO]]-$I$5)</f>
        <v>-6</v>
      </c>
      <c r="O331" s="5"/>
      <c r="P331" s="11"/>
      <c r="Q331" s="26"/>
      <c r="R331" s="26"/>
      <c r="S331" s="26"/>
      <c r="T331" s="5" t="s">
        <v>625</v>
      </c>
      <c r="U331" s="5"/>
      <c r="V331" s="5"/>
    </row>
    <row r="332" spans="1:22">
      <c r="A332" s="26" t="s">
        <v>0</v>
      </c>
      <c r="B332" s="11">
        <f>B331</f>
        <v>46031</v>
      </c>
      <c r="C332" s="11" t="s">
        <v>41</v>
      </c>
      <c r="D332" s="26">
        <v>278</v>
      </c>
      <c r="E332" s="10" t="s">
        <v>97</v>
      </c>
      <c r="F332" s="26" t="s">
        <v>20</v>
      </c>
      <c r="G332" s="225" t="s">
        <v>53</v>
      </c>
      <c r="H332" s="39">
        <v>7401.25</v>
      </c>
      <c r="I332" s="216">
        <v>46106</v>
      </c>
      <c r="J332" s="7" t="s">
        <v>91</v>
      </c>
      <c r="K332" s="5" t="s">
        <v>81</v>
      </c>
      <c r="L332" s="6">
        <v>46034</v>
      </c>
      <c r="M332" s="26" t="str">
        <f ca="1">IF(Tabela4[[#This Row],[RECOMPRADO]]="RECEBIDO","LIQUIDADO",IF(O332="LIQUIDADO","LIQUIDADO",IF(I332&lt;$I$5,"VENCIDO","A VENCER")))</f>
        <v>A VENCER</v>
      </c>
      <c r="N332" s="212">
        <f ca="1">IF(Tabela4[[#This Row],[STATUS]]="LIQUIDADO","",Tabela4[[#This Row],[VCTO]]-$I$5)</f>
        <v>8</v>
      </c>
      <c r="O332" s="26"/>
      <c r="P332" s="11"/>
      <c r="Q332" s="26"/>
      <c r="R332" s="26"/>
      <c r="S332" s="26"/>
      <c r="T332" s="26"/>
      <c r="U332" s="26"/>
      <c r="V332" s="5"/>
    </row>
    <row r="333" spans="1:22">
      <c r="A333" s="26" t="s">
        <v>0</v>
      </c>
      <c r="B333" s="11">
        <v>46031</v>
      </c>
      <c r="C333" s="11" t="s">
        <v>41</v>
      </c>
      <c r="D333" s="26">
        <v>279</v>
      </c>
      <c r="E333" s="10" t="s">
        <v>92</v>
      </c>
      <c r="F333" s="26" t="s">
        <v>21</v>
      </c>
      <c r="G333" s="225" t="s">
        <v>54</v>
      </c>
      <c r="H333" s="39">
        <v>4125.2</v>
      </c>
      <c r="I333" s="216">
        <v>46065</v>
      </c>
      <c r="J333" s="7" t="s">
        <v>91</v>
      </c>
      <c r="K333" s="5" t="s">
        <v>81</v>
      </c>
      <c r="L333" s="6">
        <v>46034</v>
      </c>
      <c r="M333" s="26" t="str">
        <f>IF(Tabela4[[#This Row],[RECOMPRADO]]="RECEBIDO","LIQUIDADO",IF(O333="LIQUIDADO","LIQUIDADO",IF(I333&lt;$I$5,"VENCIDO","A VENCER")))</f>
        <v>LIQUIDADO</v>
      </c>
      <c r="N333" s="212" t="str">
        <f>IF(Tabela4[[#This Row],[STATUS]]="LIQUIDADO","",Tabela4[[#This Row],[VCTO]]-$I$5)</f>
        <v/>
      </c>
      <c r="O333" s="26" t="s">
        <v>86</v>
      </c>
      <c r="P333" s="11"/>
      <c r="Q333" s="26"/>
      <c r="R333" s="26"/>
      <c r="S333" s="26"/>
      <c r="T333" s="26"/>
      <c r="U333" s="26"/>
      <c r="V333" s="5"/>
    </row>
    <row r="334" spans="1:22">
      <c r="A334" s="26" t="s">
        <v>0</v>
      </c>
      <c r="B334" s="11">
        <f>B333</f>
        <v>46031</v>
      </c>
      <c r="C334" s="11" t="s">
        <v>41</v>
      </c>
      <c r="D334" s="26">
        <v>279</v>
      </c>
      <c r="E334" s="10" t="s">
        <v>95</v>
      </c>
      <c r="F334" s="26" t="s">
        <v>21</v>
      </c>
      <c r="G334" s="225" t="s">
        <v>54</v>
      </c>
      <c r="H334" s="39">
        <v>4125.2</v>
      </c>
      <c r="I334" s="216">
        <v>46095</v>
      </c>
      <c r="J334" s="7" t="s">
        <v>91</v>
      </c>
      <c r="K334" s="5" t="s">
        <v>81</v>
      </c>
      <c r="L334" s="6">
        <v>46034</v>
      </c>
      <c r="M334" s="26" t="str">
        <f>IF(Tabela4[[#This Row],[RECOMPRADO]]="RECEBIDO","LIQUIDADO",IF(O334="LIQUIDADO","LIQUIDADO",IF(I334&lt;$I$5,"VENCIDO","A VENCER")))</f>
        <v>LIQUIDADO</v>
      </c>
      <c r="N334" s="212" t="str">
        <f>IF(Tabela4[[#This Row],[STATUS]]="LIQUIDADO","",Tabela4[[#This Row],[VCTO]]-$I$5)</f>
        <v/>
      </c>
      <c r="O334" s="26" t="s">
        <v>86</v>
      </c>
      <c r="P334" s="11"/>
      <c r="Q334" s="26"/>
      <c r="R334" s="26"/>
      <c r="S334" s="26"/>
      <c r="T334" s="26"/>
      <c r="U334" s="26"/>
      <c r="V334" s="5"/>
    </row>
    <row r="335" spans="1:22">
      <c r="A335" s="26" t="s">
        <v>0</v>
      </c>
      <c r="B335" s="11">
        <v>46031</v>
      </c>
      <c r="C335" s="11" t="s">
        <v>43</v>
      </c>
      <c r="D335" s="26">
        <v>277</v>
      </c>
      <c r="E335" s="10" t="s">
        <v>92</v>
      </c>
      <c r="F335" s="26" t="s">
        <v>19</v>
      </c>
      <c r="G335" s="225" t="s">
        <v>55</v>
      </c>
      <c r="H335" s="39">
        <v>3394.3</v>
      </c>
      <c r="I335" s="216">
        <v>46080</v>
      </c>
      <c r="J335" s="7" t="s">
        <v>91</v>
      </c>
      <c r="K335" s="5" t="s">
        <v>77</v>
      </c>
      <c r="L335" s="6">
        <v>46037</v>
      </c>
      <c r="M335" s="26" t="str">
        <f>IF(Tabela4[[#This Row],[RECOMPRADO]]="RECEBIDO","LIQUIDADO",IF(O335="LIQUIDADO","LIQUIDADO",IF(I335&lt;$I$5,"VENCIDO","A VENCER")))</f>
        <v>LIQUIDADO</v>
      </c>
      <c r="N335" s="212" t="str">
        <f>IF(Tabela4[[#This Row],[STATUS]]="LIQUIDADO","",Tabela4[[#This Row],[VCTO]]-$I$5)</f>
        <v/>
      </c>
      <c r="O335" s="26" t="s">
        <v>86</v>
      </c>
      <c r="P335" s="11"/>
      <c r="Q335" s="26"/>
      <c r="R335" s="26"/>
      <c r="S335" s="26"/>
      <c r="T335" s="5" t="s">
        <v>486</v>
      </c>
      <c r="U335" s="5"/>
      <c r="V335" s="5"/>
    </row>
    <row r="336" spans="1:22">
      <c r="A336" s="26" t="s">
        <v>0</v>
      </c>
      <c r="B336" s="6">
        <f>B335</f>
        <v>46031</v>
      </c>
      <c r="C336" s="11" t="s">
        <v>43</v>
      </c>
      <c r="D336" s="5">
        <v>277</v>
      </c>
      <c r="E336" s="10" t="s">
        <v>95</v>
      </c>
      <c r="F336" s="5" t="s">
        <v>19</v>
      </c>
      <c r="G336" s="225" t="s">
        <v>55</v>
      </c>
      <c r="H336" s="39">
        <v>3394.3</v>
      </c>
      <c r="I336" s="217">
        <v>46122</v>
      </c>
      <c r="J336" s="7" t="s">
        <v>91</v>
      </c>
      <c r="K336" s="5" t="s">
        <v>77</v>
      </c>
      <c r="L336" s="6">
        <v>46037</v>
      </c>
      <c r="M336" s="26" t="str">
        <f ca="1">IF(Tabela4[[#This Row],[RECOMPRADO]]="RECEBIDO","LIQUIDADO",IF(O336="LIQUIDADO","LIQUIDADO",IF(I336&lt;$I$5,"VENCIDO","A VENCER")))</f>
        <v>A VENCER</v>
      </c>
      <c r="N336" s="211">
        <f ca="1">IF(Tabela4[[#This Row],[STATUS]]="LIQUIDADO","",Tabela4[[#This Row],[VCTO]]-$I$5)</f>
        <v>24</v>
      </c>
      <c r="O336" s="5"/>
      <c r="P336" s="6"/>
      <c r="Q336" s="5"/>
      <c r="R336" s="5"/>
      <c r="S336" s="5"/>
      <c r="T336" s="5" t="s">
        <v>602</v>
      </c>
      <c r="U336" s="5"/>
      <c r="V336" s="5"/>
    </row>
    <row r="337" spans="1:22">
      <c r="A337" s="26" t="s">
        <v>0</v>
      </c>
      <c r="B337" s="6">
        <f>B336</f>
        <v>46031</v>
      </c>
      <c r="C337" s="11" t="s">
        <v>43</v>
      </c>
      <c r="D337" s="5">
        <v>277</v>
      </c>
      <c r="E337" s="10" t="s">
        <v>96</v>
      </c>
      <c r="F337" s="5" t="s">
        <v>19</v>
      </c>
      <c r="G337" s="225" t="s">
        <v>55</v>
      </c>
      <c r="H337" s="39">
        <v>3394.3</v>
      </c>
      <c r="I337" s="217">
        <v>46094</v>
      </c>
      <c r="J337" s="7" t="s">
        <v>91</v>
      </c>
      <c r="K337" s="5" t="s">
        <v>77</v>
      </c>
      <c r="L337" s="6">
        <v>46037</v>
      </c>
      <c r="M337" s="26" t="str">
        <f>IF(Tabela4[[#This Row],[RECOMPRADO]]="RECEBIDO","LIQUIDADO",IF(O337="LIQUIDADO","LIQUIDADO",IF(I337&lt;$I$5,"VENCIDO","A VENCER")))</f>
        <v>LIQUIDADO</v>
      </c>
      <c r="N337" s="211" t="str">
        <f>IF(Tabela4[[#This Row],[STATUS]]="LIQUIDADO","",Tabela4[[#This Row],[VCTO]]-$I$5)</f>
        <v/>
      </c>
      <c r="O337" s="5" t="s">
        <v>86</v>
      </c>
      <c r="P337" s="6"/>
      <c r="Q337" s="5"/>
      <c r="R337" s="5"/>
      <c r="S337" s="5"/>
      <c r="T337" s="26"/>
      <c r="U337" s="26"/>
      <c r="V337" s="5"/>
    </row>
    <row r="338" spans="1:22">
      <c r="A338" s="26" t="s">
        <v>0</v>
      </c>
      <c r="B338" s="6">
        <f>B337</f>
        <v>46031</v>
      </c>
      <c r="C338" s="11" t="s">
        <v>43</v>
      </c>
      <c r="D338" s="5">
        <v>277</v>
      </c>
      <c r="E338" s="10" t="s">
        <v>97</v>
      </c>
      <c r="F338" s="5" t="s">
        <v>19</v>
      </c>
      <c r="G338" s="225" t="s">
        <v>55</v>
      </c>
      <c r="H338" s="39">
        <v>3394.3</v>
      </c>
      <c r="I338" s="217">
        <v>46101</v>
      </c>
      <c r="J338" s="7" t="s">
        <v>91</v>
      </c>
      <c r="K338" s="5" t="s">
        <v>77</v>
      </c>
      <c r="L338" s="6">
        <v>46037</v>
      </c>
      <c r="M338" s="26" t="str">
        <f ca="1">IF(Tabela4[[#This Row],[RECOMPRADO]]="RECEBIDO","LIQUIDADO",IF(O338="LIQUIDADO","LIQUIDADO",IF(I338&lt;$I$5,"VENCIDO","A VENCER")))</f>
        <v>A VENCER</v>
      </c>
      <c r="N338" s="211">
        <f ca="1">IF(Tabela4[[#This Row],[STATUS]]="LIQUIDADO","",Tabela4[[#This Row],[VCTO]]-$I$5)</f>
        <v>3</v>
      </c>
      <c r="O338" s="26"/>
      <c r="P338" s="6"/>
      <c r="Q338" s="5"/>
      <c r="R338" s="5"/>
      <c r="S338" s="5"/>
      <c r="T338" s="5"/>
      <c r="U338" s="5"/>
      <c r="V338" s="5"/>
    </row>
    <row r="339" spans="1:22">
      <c r="A339" s="26" t="s">
        <v>0</v>
      </c>
      <c r="B339" s="6">
        <f>B338</f>
        <v>46031</v>
      </c>
      <c r="C339" s="11" t="s">
        <v>43</v>
      </c>
      <c r="D339" s="5">
        <v>277</v>
      </c>
      <c r="E339" s="10" t="s">
        <v>98</v>
      </c>
      <c r="F339" s="5" t="s">
        <v>19</v>
      </c>
      <c r="G339" s="225" t="s">
        <v>55</v>
      </c>
      <c r="H339" s="39">
        <v>3394.3</v>
      </c>
      <c r="I339" s="217">
        <v>46108</v>
      </c>
      <c r="J339" s="7" t="s">
        <v>91</v>
      </c>
      <c r="K339" s="5" t="s">
        <v>77</v>
      </c>
      <c r="L339" s="6">
        <v>46037</v>
      </c>
      <c r="M339" s="26" t="str">
        <f ca="1">IF(Tabela4[[#This Row],[RECOMPRADO]]="RECEBIDO","LIQUIDADO",IF(O339="LIQUIDADO","LIQUIDADO",IF(I339&lt;$I$5,"VENCIDO","A VENCER")))</f>
        <v>A VENCER</v>
      </c>
      <c r="N339" s="211">
        <f ca="1">IF(Tabela4[[#This Row],[STATUS]]="LIQUIDADO","",Tabela4[[#This Row],[VCTO]]-$I$5)</f>
        <v>10</v>
      </c>
      <c r="O339" s="26"/>
      <c r="P339" s="6"/>
      <c r="Q339" s="5"/>
      <c r="R339" s="5"/>
      <c r="S339" s="5"/>
      <c r="T339" s="5"/>
      <c r="U339" s="5"/>
      <c r="V339" s="5"/>
    </row>
    <row r="340" spans="1:22">
      <c r="A340" s="26" t="s">
        <v>0</v>
      </c>
      <c r="B340" s="6">
        <f>B339</f>
        <v>46031</v>
      </c>
      <c r="C340" s="11" t="s">
        <v>43</v>
      </c>
      <c r="D340" s="5">
        <v>277</v>
      </c>
      <c r="E340" s="10" t="s">
        <v>99</v>
      </c>
      <c r="F340" s="5" t="s">
        <v>19</v>
      </c>
      <c r="G340" s="225" t="s">
        <v>55</v>
      </c>
      <c r="H340" s="39">
        <v>3394.3</v>
      </c>
      <c r="I340" s="217">
        <v>46115</v>
      </c>
      <c r="J340" s="7" t="s">
        <v>91</v>
      </c>
      <c r="K340" s="5" t="s">
        <v>77</v>
      </c>
      <c r="L340" s="6">
        <v>46037</v>
      </c>
      <c r="M340" s="26" t="str">
        <f ca="1">IF(Tabela4[[#This Row],[RECOMPRADO]]="RECEBIDO","LIQUIDADO",IF(O340="LIQUIDADO","LIQUIDADO",IF(I340&lt;$I$5,"VENCIDO","A VENCER")))</f>
        <v>A VENCER</v>
      </c>
      <c r="N340" s="211">
        <f ca="1">IF(Tabela4[[#This Row],[STATUS]]="LIQUIDADO","",Tabela4[[#This Row],[VCTO]]-$I$5)</f>
        <v>17</v>
      </c>
      <c r="O340" s="26"/>
      <c r="P340" s="6"/>
      <c r="Q340" s="5"/>
      <c r="R340" s="5"/>
      <c r="S340" s="5"/>
      <c r="T340" s="5"/>
      <c r="U340" s="5"/>
      <c r="V340" s="5"/>
    </row>
    <row r="341" spans="1:22">
      <c r="A341" s="26" t="s">
        <v>0</v>
      </c>
      <c r="B341" s="6">
        <v>46034</v>
      </c>
      <c r="C341" s="11" t="s">
        <v>41</v>
      </c>
      <c r="D341" s="5">
        <v>281</v>
      </c>
      <c r="E341" s="10" t="s">
        <v>92</v>
      </c>
      <c r="F341" s="5" t="s">
        <v>22</v>
      </c>
      <c r="G341" s="225" t="s">
        <v>148</v>
      </c>
      <c r="H341" s="39">
        <v>1083.3399999999999</v>
      </c>
      <c r="I341" s="217">
        <v>46063</v>
      </c>
      <c r="J341" s="7" t="s">
        <v>91</v>
      </c>
      <c r="K341" s="5" t="s">
        <v>77</v>
      </c>
      <c r="L341" s="6">
        <v>46037</v>
      </c>
      <c r="M341" s="26" t="str">
        <f>IF(Tabela4[[#This Row],[RECOMPRADO]]="RECEBIDO","LIQUIDADO",IF(O341="LIQUIDADO","LIQUIDADO",IF(I341&lt;$I$5,"VENCIDO","A VENCER")))</f>
        <v>LIQUIDADO</v>
      </c>
      <c r="N341" s="211" t="str">
        <f>IF(Tabela4[[#This Row],[STATUS]]="LIQUIDADO","",Tabela4[[#This Row],[VCTO]]-$I$5)</f>
        <v/>
      </c>
      <c r="O341" s="26" t="s">
        <v>86</v>
      </c>
      <c r="P341" s="6"/>
      <c r="Q341" s="5"/>
      <c r="R341" s="5"/>
      <c r="S341" s="5"/>
      <c r="T341" s="5"/>
      <c r="U341" s="5"/>
      <c r="V341" s="5"/>
    </row>
    <row r="342" spans="1:22">
      <c r="A342" s="26" t="s">
        <v>0</v>
      </c>
      <c r="B342" s="6">
        <f>B341</f>
        <v>46034</v>
      </c>
      <c r="C342" s="11" t="s">
        <v>41</v>
      </c>
      <c r="D342" s="5">
        <v>281</v>
      </c>
      <c r="E342" s="10" t="s">
        <v>95</v>
      </c>
      <c r="F342" s="5" t="s">
        <v>22</v>
      </c>
      <c r="G342" s="225" t="s">
        <v>148</v>
      </c>
      <c r="H342" s="39">
        <v>1083.33</v>
      </c>
      <c r="I342" s="217">
        <v>46070</v>
      </c>
      <c r="J342" s="7" t="s">
        <v>91</v>
      </c>
      <c r="K342" s="5" t="s">
        <v>77</v>
      </c>
      <c r="L342" s="6">
        <v>46037</v>
      </c>
      <c r="M342" s="5" t="str">
        <f>IF(Tabela4[[#This Row],[RECOMPRADO]]="RECEBIDO","LIQUIDADO",IF(O342="LIQUIDADO","LIQUIDADO",IF(I342&lt;$I$5,"VENCIDO","A VENCER")))</f>
        <v>LIQUIDADO</v>
      </c>
      <c r="N342" s="211" t="str">
        <f>IF(Tabela4[[#This Row],[STATUS]]="LIQUIDADO","",Tabela4[[#This Row],[VCTO]]-$I$5)</f>
        <v/>
      </c>
      <c r="O342" s="5" t="s">
        <v>86</v>
      </c>
      <c r="P342" s="6"/>
      <c r="Q342" s="5"/>
      <c r="R342" s="5"/>
      <c r="S342" s="5"/>
      <c r="T342" s="5"/>
      <c r="U342" s="5"/>
      <c r="V342" s="5"/>
    </row>
    <row r="343" spans="1:22">
      <c r="A343" s="26" t="s">
        <v>0</v>
      </c>
      <c r="B343" s="6">
        <f>B342</f>
        <v>46034</v>
      </c>
      <c r="C343" s="11" t="s">
        <v>41</v>
      </c>
      <c r="D343" s="5">
        <v>281</v>
      </c>
      <c r="E343" s="10" t="s">
        <v>96</v>
      </c>
      <c r="F343" s="5" t="s">
        <v>22</v>
      </c>
      <c r="G343" s="225" t="s">
        <v>148</v>
      </c>
      <c r="H343" s="39">
        <v>1083.33</v>
      </c>
      <c r="I343" s="217">
        <v>46077</v>
      </c>
      <c r="J343" s="7" t="s">
        <v>91</v>
      </c>
      <c r="K343" s="5" t="s">
        <v>77</v>
      </c>
      <c r="L343" s="6">
        <v>46037</v>
      </c>
      <c r="M343" s="5" t="str">
        <f>IF(Tabela4[[#This Row],[RECOMPRADO]]="RECEBIDO","LIQUIDADO",IF(O343="LIQUIDADO","LIQUIDADO",IF(I343&lt;$I$5,"VENCIDO","A VENCER")))</f>
        <v>LIQUIDADO</v>
      </c>
      <c r="N343" s="211" t="str">
        <f>IF(Tabela4[[#This Row],[STATUS]]="LIQUIDADO","",Tabela4[[#This Row],[VCTO]]-$I$5)</f>
        <v/>
      </c>
      <c r="O343" s="5" t="s">
        <v>86</v>
      </c>
      <c r="P343" s="6"/>
      <c r="Q343" s="5"/>
      <c r="R343" s="5"/>
      <c r="S343" s="5"/>
      <c r="T343" s="5"/>
      <c r="U343" s="5"/>
      <c r="V343" s="5"/>
    </row>
    <row r="344" spans="1:22">
      <c r="A344" s="26" t="s">
        <v>0</v>
      </c>
      <c r="B344" s="6">
        <v>46036</v>
      </c>
      <c r="C344" s="11" t="s">
        <v>41</v>
      </c>
      <c r="D344" s="26">
        <v>282</v>
      </c>
      <c r="E344" s="10" t="s">
        <v>92</v>
      </c>
      <c r="F344" s="5" t="s">
        <v>23</v>
      </c>
      <c r="G344" s="225" t="s">
        <v>64</v>
      </c>
      <c r="H344" s="39">
        <v>1675.8</v>
      </c>
      <c r="I344" s="217">
        <v>46036</v>
      </c>
      <c r="J344" s="7" t="s">
        <v>125</v>
      </c>
      <c r="K344" s="5" t="s">
        <v>0</v>
      </c>
      <c r="L344" s="6"/>
      <c r="M344" s="26" t="str">
        <f>IF(Tabela4[[#This Row],[RECOMPRADO]]="RECEBIDO","LIQUIDADO",IF(O344="LIQUIDADO","LIQUIDADO",IF(I344&lt;$I$5,"VENCIDO","A VENCER")))</f>
        <v>LIQUIDADO</v>
      </c>
      <c r="N344" s="212" t="str">
        <f>IF(Tabela4[[#This Row],[STATUS]]="LIQUIDADO","",Tabela4[[#This Row],[VCTO]]-$I$5)</f>
        <v/>
      </c>
      <c r="O344" s="26" t="s">
        <v>86</v>
      </c>
      <c r="P344" s="11"/>
      <c r="Q344" s="26"/>
      <c r="R344" s="26"/>
      <c r="S344" s="26"/>
      <c r="T344" s="26"/>
      <c r="U344" s="26"/>
      <c r="V344" s="5"/>
    </row>
    <row r="345" spans="1:22">
      <c r="A345" s="26" t="s">
        <v>0</v>
      </c>
      <c r="B345" s="6">
        <v>46036</v>
      </c>
      <c r="C345" s="11" t="s">
        <v>41</v>
      </c>
      <c r="D345" s="5">
        <v>283</v>
      </c>
      <c r="E345" s="10" t="s">
        <v>92</v>
      </c>
      <c r="F345" s="5" t="s">
        <v>20</v>
      </c>
      <c r="G345" s="225" t="s">
        <v>53</v>
      </c>
      <c r="H345" s="39">
        <v>4201.25</v>
      </c>
      <c r="I345" s="217">
        <v>46065</v>
      </c>
      <c r="J345" s="7" t="s">
        <v>91</v>
      </c>
      <c r="K345" s="5" t="s">
        <v>77</v>
      </c>
      <c r="L345" s="6">
        <v>46037</v>
      </c>
      <c r="M345" s="5" t="str">
        <f ca="1">IF(Tabela4[[#This Row],[RECOMPRADO]]="RECEBIDO","LIQUIDADO",IF(O345="LIQUIDADO","LIQUIDADO",IF(I345&lt;$I$5,"VENCIDO","A VENCER")))</f>
        <v>VENCIDO</v>
      </c>
      <c r="N345" s="211">
        <f ca="1">IF(Tabela4[[#This Row],[STATUS]]="LIQUIDADO","",Tabela4[[#This Row],[VCTO]]-$I$5)</f>
        <v>-33</v>
      </c>
      <c r="O345" s="26"/>
      <c r="P345" s="6"/>
      <c r="Q345" s="5"/>
      <c r="R345" s="5"/>
      <c r="S345" s="5" t="s">
        <v>151</v>
      </c>
      <c r="T345" s="5" t="s">
        <v>625</v>
      </c>
      <c r="U345" s="5"/>
      <c r="V345" s="5"/>
    </row>
    <row r="346" spans="1:22">
      <c r="A346" s="26" t="s">
        <v>0</v>
      </c>
      <c r="B346" s="6">
        <f>B345</f>
        <v>46036</v>
      </c>
      <c r="C346" s="11" t="s">
        <v>41</v>
      </c>
      <c r="D346" s="5">
        <v>283</v>
      </c>
      <c r="E346" s="10" t="s">
        <v>95</v>
      </c>
      <c r="F346" s="5" t="s">
        <v>20</v>
      </c>
      <c r="G346" s="225" t="s">
        <v>53</v>
      </c>
      <c r="H346" s="39">
        <v>4201.25</v>
      </c>
      <c r="I346" s="217">
        <v>46079</v>
      </c>
      <c r="J346" s="7" t="s">
        <v>91</v>
      </c>
      <c r="K346" s="5" t="s">
        <v>77</v>
      </c>
      <c r="L346" s="6">
        <v>46037</v>
      </c>
      <c r="M346" s="5" t="str">
        <f ca="1">IF(Tabela4[[#This Row],[RECOMPRADO]]="RECEBIDO","LIQUIDADO",IF(O346="LIQUIDADO","LIQUIDADO",IF(I346&lt;$I$5,"VENCIDO","A VENCER")))</f>
        <v>VENCIDO</v>
      </c>
      <c r="N346" s="211">
        <f ca="1">IF(Tabela4[[#This Row],[STATUS]]="LIQUIDADO","",Tabela4[[#This Row],[VCTO]]-$I$5)</f>
        <v>-19</v>
      </c>
      <c r="O346" s="26"/>
      <c r="P346" s="6"/>
      <c r="Q346" s="5"/>
      <c r="R346" s="5"/>
      <c r="S346" s="5" t="s">
        <v>151</v>
      </c>
      <c r="T346" s="5" t="s">
        <v>625</v>
      </c>
      <c r="U346" s="5"/>
      <c r="V346" s="5"/>
    </row>
    <row r="347" spans="1:22">
      <c r="A347" s="26" t="s">
        <v>0</v>
      </c>
      <c r="B347" s="6">
        <f>B346</f>
        <v>46036</v>
      </c>
      <c r="C347" s="11" t="s">
        <v>41</v>
      </c>
      <c r="D347" s="5">
        <v>283</v>
      </c>
      <c r="E347" s="10" t="s">
        <v>96</v>
      </c>
      <c r="F347" s="5" t="s">
        <v>20</v>
      </c>
      <c r="G347" s="225" t="s">
        <v>53</v>
      </c>
      <c r="H347" s="39">
        <v>4201.25</v>
      </c>
      <c r="I347" s="217">
        <v>46093</v>
      </c>
      <c r="J347" s="7" t="s">
        <v>91</v>
      </c>
      <c r="K347" s="5" t="s">
        <v>77</v>
      </c>
      <c r="L347" s="6">
        <v>46037</v>
      </c>
      <c r="M347" s="5" t="str">
        <f ca="1">IF(Tabela4[[#This Row],[RECOMPRADO]]="RECEBIDO","LIQUIDADO",IF(O347="LIQUIDADO","LIQUIDADO",IF(I347&lt;$I$5,"VENCIDO","A VENCER")))</f>
        <v>VENCIDO</v>
      </c>
      <c r="N347" s="211">
        <f ca="1">IF(Tabela4[[#This Row],[STATUS]]="LIQUIDADO","",Tabela4[[#This Row],[VCTO]]-$I$5)</f>
        <v>-5</v>
      </c>
      <c r="O347" s="26"/>
      <c r="P347" s="6"/>
      <c r="Q347" s="5"/>
      <c r="R347" s="5"/>
      <c r="S347" s="5"/>
      <c r="T347" s="5" t="s">
        <v>626</v>
      </c>
      <c r="U347" s="5"/>
      <c r="V347" s="5"/>
    </row>
    <row r="348" spans="1:22">
      <c r="A348" s="26" t="s">
        <v>0</v>
      </c>
      <c r="B348" s="6">
        <f>B347</f>
        <v>46036</v>
      </c>
      <c r="C348" s="11" t="s">
        <v>41</v>
      </c>
      <c r="D348" s="5">
        <v>283</v>
      </c>
      <c r="E348" s="10" t="s">
        <v>97</v>
      </c>
      <c r="F348" s="5" t="s">
        <v>20</v>
      </c>
      <c r="G348" s="225" t="s">
        <v>53</v>
      </c>
      <c r="H348" s="39">
        <v>4201.25</v>
      </c>
      <c r="I348" s="217">
        <v>46107</v>
      </c>
      <c r="J348" s="7" t="s">
        <v>91</v>
      </c>
      <c r="K348" s="5" t="s">
        <v>77</v>
      </c>
      <c r="L348" s="6">
        <v>46037</v>
      </c>
      <c r="M348" s="5" t="str">
        <f ca="1">IF(Tabela4[[#This Row],[RECOMPRADO]]="RECEBIDO","LIQUIDADO",IF(O348="LIQUIDADO","LIQUIDADO",IF(I348&lt;$I$5,"VENCIDO","A VENCER")))</f>
        <v>A VENCER</v>
      </c>
      <c r="N348" s="211">
        <f ca="1">IF(Tabela4[[#This Row],[STATUS]]="LIQUIDADO","",Tabela4[[#This Row],[VCTO]]-$I$5)</f>
        <v>9</v>
      </c>
      <c r="O348" s="5"/>
      <c r="P348" s="6"/>
      <c r="Q348" s="5"/>
      <c r="R348" s="5"/>
      <c r="S348" s="5"/>
      <c r="T348" s="5"/>
      <c r="U348" s="5"/>
      <c r="V348" s="5"/>
    </row>
    <row r="349" spans="1:22">
      <c r="A349" s="26" t="s">
        <v>0</v>
      </c>
      <c r="B349" s="6">
        <v>46036</v>
      </c>
      <c r="C349" s="11" t="s">
        <v>41</v>
      </c>
      <c r="D349" s="5">
        <v>284</v>
      </c>
      <c r="E349" s="10" t="s">
        <v>92</v>
      </c>
      <c r="F349" s="5" t="s">
        <v>19</v>
      </c>
      <c r="G349" s="225" t="s">
        <v>55</v>
      </c>
      <c r="H349" s="39">
        <v>3284.5</v>
      </c>
      <c r="I349" s="217">
        <v>46080</v>
      </c>
      <c r="J349" s="7" t="s">
        <v>91</v>
      </c>
      <c r="K349" s="5" t="s">
        <v>77</v>
      </c>
      <c r="L349" s="6">
        <v>46037</v>
      </c>
      <c r="M349" s="5" t="str">
        <f>IF(Tabela4[[#This Row],[RECOMPRADO]]="RECEBIDO","LIQUIDADO",IF(O349="LIQUIDADO","LIQUIDADO",IF(I349&lt;$I$5,"VENCIDO","A VENCER")))</f>
        <v>LIQUIDADO</v>
      </c>
      <c r="N349" s="211" t="str">
        <f>IF(Tabela4[[#This Row],[STATUS]]="LIQUIDADO","",Tabela4[[#This Row],[VCTO]]-$I$5)</f>
        <v/>
      </c>
      <c r="O349" s="5" t="s">
        <v>86</v>
      </c>
      <c r="P349" s="6"/>
      <c r="Q349" s="5"/>
      <c r="R349" s="5"/>
      <c r="S349" s="5" t="s">
        <v>151</v>
      </c>
      <c r="T349" s="5" t="s">
        <v>610</v>
      </c>
      <c r="U349" s="5"/>
      <c r="V349" s="5"/>
    </row>
    <row r="350" spans="1:22">
      <c r="A350" s="26" t="s">
        <v>0</v>
      </c>
      <c r="B350" s="6">
        <f>B349</f>
        <v>46036</v>
      </c>
      <c r="C350" s="11" t="s">
        <v>41</v>
      </c>
      <c r="D350" s="5">
        <v>284</v>
      </c>
      <c r="E350" s="10" t="s">
        <v>95</v>
      </c>
      <c r="F350" s="5" t="s">
        <v>19</v>
      </c>
      <c r="G350" s="225" t="s">
        <v>55</v>
      </c>
      <c r="H350" s="39">
        <v>3284.5</v>
      </c>
      <c r="I350" s="217">
        <v>46122</v>
      </c>
      <c r="J350" s="7" t="s">
        <v>91</v>
      </c>
      <c r="K350" s="5" t="s">
        <v>77</v>
      </c>
      <c r="L350" s="6">
        <v>46037</v>
      </c>
      <c r="M350" s="5" t="str">
        <f ca="1">IF(Tabela4[[#This Row],[RECOMPRADO]]="RECEBIDO","LIQUIDADO",IF(O350="LIQUIDADO","LIQUIDADO",IF(I350&lt;$I$5,"VENCIDO","A VENCER")))</f>
        <v>A VENCER</v>
      </c>
      <c r="N350" s="211">
        <f ca="1">IF(Tabela4[[#This Row],[STATUS]]="LIQUIDADO","",Tabela4[[#This Row],[VCTO]]-$I$5)</f>
        <v>24</v>
      </c>
      <c r="O350" s="26"/>
      <c r="P350" s="6"/>
      <c r="Q350" s="5"/>
      <c r="R350" s="5"/>
      <c r="S350" s="5"/>
      <c r="T350" s="5" t="s">
        <v>602</v>
      </c>
      <c r="U350" s="5"/>
      <c r="V350" s="5"/>
    </row>
    <row r="351" spans="1:22">
      <c r="A351" s="26" t="s">
        <v>0</v>
      </c>
      <c r="B351" s="6">
        <f>B350</f>
        <v>46036</v>
      </c>
      <c r="C351" s="11" t="s">
        <v>41</v>
      </c>
      <c r="D351" s="5">
        <v>284</v>
      </c>
      <c r="E351" s="10" t="s">
        <v>96</v>
      </c>
      <c r="F351" s="5" t="s">
        <v>19</v>
      </c>
      <c r="G351" s="225" t="s">
        <v>55</v>
      </c>
      <c r="H351" s="39">
        <v>3284.5</v>
      </c>
      <c r="I351" s="217">
        <v>46094</v>
      </c>
      <c r="J351" s="7" t="s">
        <v>91</v>
      </c>
      <c r="K351" s="5" t="s">
        <v>77</v>
      </c>
      <c r="L351" s="6">
        <v>46037</v>
      </c>
      <c r="M351" s="5" t="str">
        <f>IF(Tabela4[[#This Row],[RECOMPRADO]]="RECEBIDO","LIQUIDADO",IF(O351="LIQUIDADO","LIQUIDADO",IF(I351&lt;$I$5,"VENCIDO","A VENCER")))</f>
        <v>LIQUIDADO</v>
      </c>
      <c r="N351" s="211" t="str">
        <f>IF(Tabela4[[#This Row],[STATUS]]="LIQUIDADO","",Tabela4[[#This Row],[VCTO]]-$I$5)</f>
        <v/>
      </c>
      <c r="O351" s="26" t="s">
        <v>86</v>
      </c>
      <c r="P351" s="6"/>
      <c r="Q351" s="5"/>
      <c r="R351" s="5"/>
      <c r="S351" s="5"/>
      <c r="T351" s="26"/>
      <c r="U351" s="26"/>
      <c r="V351" s="5"/>
    </row>
    <row r="352" spans="1:22">
      <c r="A352" s="26" t="s">
        <v>0</v>
      </c>
      <c r="B352" s="6">
        <f>B351</f>
        <v>46036</v>
      </c>
      <c r="C352" s="11" t="s">
        <v>41</v>
      </c>
      <c r="D352" s="5">
        <v>284</v>
      </c>
      <c r="E352" s="10" t="s">
        <v>97</v>
      </c>
      <c r="F352" s="5" t="s">
        <v>19</v>
      </c>
      <c r="G352" s="225" t="s">
        <v>55</v>
      </c>
      <c r="H352" s="39">
        <v>3284.5</v>
      </c>
      <c r="I352" s="217">
        <v>46101</v>
      </c>
      <c r="J352" s="7" t="s">
        <v>91</v>
      </c>
      <c r="K352" s="5" t="s">
        <v>77</v>
      </c>
      <c r="L352" s="6">
        <v>46037</v>
      </c>
      <c r="M352" s="5" t="str">
        <f ca="1">IF(Tabela4[[#This Row],[RECOMPRADO]]="RECEBIDO","LIQUIDADO",IF(O352="LIQUIDADO","LIQUIDADO",IF(I352&lt;$I$5,"VENCIDO","A VENCER")))</f>
        <v>A VENCER</v>
      </c>
      <c r="N352" s="211">
        <f ca="1">IF(Tabela4[[#This Row],[STATUS]]="LIQUIDADO","",Tabela4[[#This Row],[VCTO]]-$I$5)</f>
        <v>3</v>
      </c>
      <c r="O352" s="26"/>
      <c r="P352" s="6"/>
      <c r="Q352" s="5"/>
      <c r="R352" s="5"/>
      <c r="S352" s="5"/>
      <c r="T352" s="5"/>
      <c r="U352" s="5"/>
      <c r="V352" s="5"/>
    </row>
    <row r="353" spans="1:22">
      <c r="A353" s="26" t="s">
        <v>0</v>
      </c>
      <c r="B353" s="6">
        <f>B352</f>
        <v>46036</v>
      </c>
      <c r="C353" s="11" t="s">
        <v>41</v>
      </c>
      <c r="D353" s="5">
        <v>284</v>
      </c>
      <c r="E353" s="10" t="s">
        <v>98</v>
      </c>
      <c r="F353" s="5" t="s">
        <v>19</v>
      </c>
      <c r="G353" s="225" t="s">
        <v>55</v>
      </c>
      <c r="H353" s="39">
        <v>3284.5</v>
      </c>
      <c r="I353" s="217">
        <v>46108</v>
      </c>
      <c r="J353" s="7" t="s">
        <v>91</v>
      </c>
      <c r="K353" s="5" t="s">
        <v>77</v>
      </c>
      <c r="L353" s="6">
        <v>46037</v>
      </c>
      <c r="M353" s="5" t="str">
        <f ca="1">IF(Tabela4[[#This Row],[RECOMPRADO]]="RECEBIDO","LIQUIDADO",IF(O353="LIQUIDADO","LIQUIDADO",IF(I353&lt;$I$5,"VENCIDO","A VENCER")))</f>
        <v>A VENCER</v>
      </c>
      <c r="N353" s="211">
        <f ca="1">IF(Tabela4[[#This Row],[STATUS]]="LIQUIDADO","",Tabela4[[#This Row],[VCTO]]-$I$5)</f>
        <v>10</v>
      </c>
      <c r="O353" s="26"/>
      <c r="P353" s="6"/>
      <c r="Q353" s="5"/>
      <c r="R353" s="5"/>
      <c r="S353" s="5"/>
      <c r="T353" s="5"/>
      <c r="U353" s="5"/>
      <c r="V353" s="5"/>
    </row>
    <row r="354" spans="1:22">
      <c r="A354" s="26" t="s">
        <v>0</v>
      </c>
      <c r="B354" s="6">
        <f>B353</f>
        <v>46036</v>
      </c>
      <c r="C354" s="11" t="s">
        <v>41</v>
      </c>
      <c r="D354" s="5">
        <v>284</v>
      </c>
      <c r="E354" s="10" t="s">
        <v>99</v>
      </c>
      <c r="F354" s="5" t="s">
        <v>19</v>
      </c>
      <c r="G354" s="225" t="s">
        <v>55</v>
      </c>
      <c r="H354" s="39">
        <v>3284.5</v>
      </c>
      <c r="I354" s="217">
        <v>46115</v>
      </c>
      <c r="J354" s="7" t="s">
        <v>91</v>
      </c>
      <c r="K354" s="5" t="s">
        <v>77</v>
      </c>
      <c r="L354" s="6">
        <v>46037</v>
      </c>
      <c r="M354" s="5" t="str">
        <f ca="1">IF(Tabela4[[#This Row],[RECOMPRADO]]="RECEBIDO","LIQUIDADO",IF(O354="LIQUIDADO","LIQUIDADO",IF(I354&lt;$I$5,"VENCIDO","A VENCER")))</f>
        <v>A VENCER</v>
      </c>
      <c r="N354" s="211">
        <f ca="1">IF(Tabela4[[#This Row],[STATUS]]="LIQUIDADO","",Tabela4[[#This Row],[VCTO]]-$I$5)</f>
        <v>17</v>
      </c>
      <c r="O354" s="5"/>
      <c r="P354" s="6"/>
      <c r="Q354" s="5"/>
      <c r="R354" s="5"/>
      <c r="S354" s="5"/>
      <c r="T354" s="5"/>
      <c r="U354" s="5"/>
      <c r="V354" s="5"/>
    </row>
    <row r="355" spans="1:22">
      <c r="A355" s="26" t="s">
        <v>0</v>
      </c>
      <c r="B355" s="6">
        <v>46036</v>
      </c>
      <c r="C355" s="11" t="s">
        <v>43</v>
      </c>
      <c r="D355" s="5">
        <v>284</v>
      </c>
      <c r="E355" s="10" t="s">
        <v>92</v>
      </c>
      <c r="F355" s="5" t="s">
        <v>19</v>
      </c>
      <c r="G355" s="225" t="s">
        <v>55</v>
      </c>
      <c r="H355" s="39">
        <v>7663.83</v>
      </c>
      <c r="I355" s="217">
        <v>46080</v>
      </c>
      <c r="J355" s="7" t="s">
        <v>91</v>
      </c>
      <c r="K355" s="5" t="s">
        <v>77</v>
      </c>
      <c r="L355" s="6">
        <v>46037</v>
      </c>
      <c r="M355" s="5" t="str">
        <f>IF(Tabela4[[#This Row],[RECOMPRADO]]="RECEBIDO","LIQUIDADO",IF(O355="LIQUIDADO","LIQUIDADO",IF(I355&lt;$I$5,"VENCIDO","A VENCER")))</f>
        <v>LIQUIDADO</v>
      </c>
      <c r="N355" s="211" t="str">
        <f>IF(Tabela4[[#This Row],[STATUS]]="LIQUIDADO","",Tabela4[[#This Row],[VCTO]]-$I$5)</f>
        <v/>
      </c>
      <c r="O355" s="5" t="s">
        <v>86</v>
      </c>
      <c r="P355" s="6"/>
      <c r="Q355" s="5"/>
      <c r="R355" s="5"/>
      <c r="S355" s="5"/>
      <c r="T355" s="5" t="s">
        <v>486</v>
      </c>
      <c r="U355" s="5"/>
      <c r="V355" s="5"/>
    </row>
    <row r="356" spans="1:22">
      <c r="A356" s="26" t="s">
        <v>0</v>
      </c>
      <c r="B356" s="6">
        <f>B355</f>
        <v>46036</v>
      </c>
      <c r="C356" s="11" t="s">
        <v>43</v>
      </c>
      <c r="D356" s="5">
        <v>284</v>
      </c>
      <c r="E356" s="10" t="s">
        <v>95</v>
      </c>
      <c r="F356" s="5" t="s">
        <v>19</v>
      </c>
      <c r="G356" s="225" t="s">
        <v>55</v>
      </c>
      <c r="H356" s="39">
        <v>7663.83</v>
      </c>
      <c r="I356" s="217">
        <v>46122</v>
      </c>
      <c r="J356" s="7" t="s">
        <v>91</v>
      </c>
      <c r="K356" s="5" t="s">
        <v>77</v>
      </c>
      <c r="L356" s="6">
        <v>46037</v>
      </c>
      <c r="M356" s="5" t="str">
        <f ca="1">IF(Tabela4[[#This Row],[RECOMPRADO]]="RECEBIDO","LIQUIDADO",IF(O356="LIQUIDADO","LIQUIDADO",IF(I356&lt;$I$5,"VENCIDO","A VENCER")))</f>
        <v>A VENCER</v>
      </c>
      <c r="N356" s="211">
        <f ca="1">IF(Tabela4[[#This Row],[STATUS]]="LIQUIDADO","",Tabela4[[#This Row],[VCTO]]-$I$5)</f>
        <v>24</v>
      </c>
      <c r="O356" s="26"/>
      <c r="P356" s="6"/>
      <c r="Q356" s="5"/>
      <c r="R356" s="5"/>
      <c r="S356" s="5"/>
      <c r="T356" s="5" t="s">
        <v>601</v>
      </c>
      <c r="U356" s="5"/>
      <c r="V356" s="5"/>
    </row>
    <row r="357" spans="1:22">
      <c r="A357" s="26" t="s">
        <v>0</v>
      </c>
      <c r="B357" s="6">
        <f>B356</f>
        <v>46036</v>
      </c>
      <c r="C357" s="11" t="s">
        <v>43</v>
      </c>
      <c r="D357" s="5">
        <v>284</v>
      </c>
      <c r="E357" s="10" t="s">
        <v>96</v>
      </c>
      <c r="F357" s="5" t="s">
        <v>19</v>
      </c>
      <c r="G357" s="225" t="s">
        <v>55</v>
      </c>
      <c r="H357" s="39">
        <v>7663.83</v>
      </c>
      <c r="I357" s="217">
        <v>46094</v>
      </c>
      <c r="J357" s="7" t="s">
        <v>91</v>
      </c>
      <c r="K357" s="5" t="s">
        <v>77</v>
      </c>
      <c r="L357" s="6">
        <v>46037</v>
      </c>
      <c r="M357" s="5" t="str">
        <f>IF(Tabela4[[#This Row],[RECOMPRADO]]="RECEBIDO","LIQUIDADO",IF(O357="LIQUIDADO","LIQUIDADO",IF(I357&lt;$I$5,"VENCIDO","A VENCER")))</f>
        <v>LIQUIDADO</v>
      </c>
      <c r="N357" s="211" t="str">
        <f>IF(Tabela4[[#This Row],[STATUS]]="LIQUIDADO","",Tabela4[[#This Row],[VCTO]]-$I$5)</f>
        <v/>
      </c>
      <c r="O357" s="26" t="s">
        <v>86</v>
      </c>
      <c r="P357" s="6"/>
      <c r="Q357" s="5"/>
      <c r="R357" s="5"/>
      <c r="S357" s="5"/>
      <c r="T357" s="5"/>
      <c r="U357" s="5"/>
      <c r="V357" s="5"/>
    </row>
    <row r="358" spans="1:22">
      <c r="A358" s="26" t="s">
        <v>0</v>
      </c>
      <c r="B358" s="6">
        <f>B357</f>
        <v>46036</v>
      </c>
      <c r="C358" s="11" t="s">
        <v>43</v>
      </c>
      <c r="D358" s="5">
        <v>284</v>
      </c>
      <c r="E358" s="10" t="s">
        <v>97</v>
      </c>
      <c r="F358" s="5" t="s">
        <v>19</v>
      </c>
      <c r="G358" s="225" t="s">
        <v>55</v>
      </c>
      <c r="H358" s="39">
        <v>7663.83</v>
      </c>
      <c r="I358" s="217">
        <v>46101</v>
      </c>
      <c r="J358" s="7" t="s">
        <v>91</v>
      </c>
      <c r="K358" s="5" t="s">
        <v>77</v>
      </c>
      <c r="L358" s="6">
        <v>46037</v>
      </c>
      <c r="M358" s="5" t="str">
        <f ca="1">IF(Tabela4[[#This Row],[RECOMPRADO]]="RECEBIDO","LIQUIDADO",IF(O358="LIQUIDADO","LIQUIDADO",IF(I358&lt;$I$5,"VENCIDO","A VENCER")))</f>
        <v>A VENCER</v>
      </c>
      <c r="N358" s="211">
        <f ca="1">IF(Tabela4[[#This Row],[STATUS]]="LIQUIDADO","",Tabela4[[#This Row],[VCTO]]-$I$5)</f>
        <v>3</v>
      </c>
      <c r="O358" s="26"/>
      <c r="P358" s="6"/>
      <c r="Q358" s="5"/>
      <c r="R358" s="5"/>
      <c r="S358" s="5"/>
      <c r="T358" s="5"/>
      <c r="U358" s="5"/>
      <c r="V358" s="5"/>
    </row>
    <row r="359" spans="1:22">
      <c r="A359" s="26" t="s">
        <v>0</v>
      </c>
      <c r="B359" s="6">
        <f>B358</f>
        <v>46036</v>
      </c>
      <c r="C359" s="11" t="s">
        <v>43</v>
      </c>
      <c r="D359" s="5">
        <v>284</v>
      </c>
      <c r="E359" s="10" t="s">
        <v>98</v>
      </c>
      <c r="F359" s="5" t="s">
        <v>19</v>
      </c>
      <c r="G359" s="225" t="s">
        <v>55</v>
      </c>
      <c r="H359" s="39">
        <v>7663.83</v>
      </c>
      <c r="I359" s="217">
        <v>46108</v>
      </c>
      <c r="J359" s="7" t="s">
        <v>91</v>
      </c>
      <c r="K359" s="5" t="s">
        <v>77</v>
      </c>
      <c r="L359" s="6">
        <v>46037</v>
      </c>
      <c r="M359" s="5" t="str">
        <f ca="1">IF(Tabela4[[#This Row],[RECOMPRADO]]="RECEBIDO","LIQUIDADO",IF(O359="LIQUIDADO","LIQUIDADO",IF(I359&lt;$I$5,"VENCIDO","A VENCER")))</f>
        <v>A VENCER</v>
      </c>
      <c r="N359" s="211">
        <f ca="1">IF(Tabela4[[#This Row],[STATUS]]="LIQUIDADO","",Tabela4[[#This Row],[VCTO]]-$I$5)</f>
        <v>10</v>
      </c>
      <c r="O359" s="26"/>
      <c r="P359" s="6"/>
      <c r="Q359" s="5"/>
      <c r="R359" s="5"/>
      <c r="S359" s="5"/>
      <c r="T359" s="5"/>
      <c r="U359" s="5"/>
      <c r="V359" s="5"/>
    </row>
    <row r="360" spans="1:22">
      <c r="A360" s="26" t="s">
        <v>0</v>
      </c>
      <c r="B360" s="6">
        <f>B359</f>
        <v>46036</v>
      </c>
      <c r="C360" s="11" t="s">
        <v>43</v>
      </c>
      <c r="D360" s="5">
        <v>284</v>
      </c>
      <c r="E360" s="10" t="s">
        <v>99</v>
      </c>
      <c r="F360" s="5" t="s">
        <v>19</v>
      </c>
      <c r="G360" s="225" t="s">
        <v>55</v>
      </c>
      <c r="H360" s="39">
        <v>7663.83</v>
      </c>
      <c r="I360" s="217">
        <v>46115</v>
      </c>
      <c r="J360" s="7" t="s">
        <v>91</v>
      </c>
      <c r="K360" s="5" t="s">
        <v>77</v>
      </c>
      <c r="L360" s="6">
        <v>46037</v>
      </c>
      <c r="M360" s="5" t="str">
        <f ca="1">IF(Tabela4[[#This Row],[RECOMPRADO]]="RECEBIDO","LIQUIDADO",IF(O360="LIQUIDADO","LIQUIDADO",IF(I360&lt;$I$5,"VENCIDO","A VENCER")))</f>
        <v>A VENCER</v>
      </c>
      <c r="N360" s="211">
        <f ca="1">IF(Tabela4[[#This Row],[STATUS]]="LIQUIDADO","",Tabela4[[#This Row],[VCTO]]-$I$5)</f>
        <v>17</v>
      </c>
      <c r="O360" s="5"/>
      <c r="P360" s="6"/>
      <c r="Q360" s="5"/>
      <c r="R360" s="5"/>
      <c r="S360" s="5"/>
      <c r="T360" s="5"/>
      <c r="U360" s="5"/>
      <c r="V360" s="5"/>
    </row>
    <row r="361" spans="1:22">
      <c r="A361" s="26" t="s">
        <v>0</v>
      </c>
      <c r="B361" s="6">
        <v>46036</v>
      </c>
      <c r="C361" s="11" t="s">
        <v>41</v>
      </c>
      <c r="D361" s="246">
        <v>285</v>
      </c>
      <c r="E361" s="10" t="s">
        <v>92</v>
      </c>
      <c r="F361" s="5" t="s">
        <v>24</v>
      </c>
      <c r="G361" s="225" t="s">
        <v>59</v>
      </c>
      <c r="H361" s="39">
        <v>72268.2</v>
      </c>
      <c r="I361" s="217">
        <v>46071</v>
      </c>
      <c r="J361" s="7" t="s">
        <v>91</v>
      </c>
      <c r="K361" s="5" t="s">
        <v>76</v>
      </c>
      <c r="L361" s="6">
        <v>46037</v>
      </c>
      <c r="M361" s="5" t="str">
        <f>IF(Tabela4[[#This Row],[RECOMPRADO]]="RECEBIDO","LIQUIDADO",IF(O361="LIQUIDADO","LIQUIDADO",IF(I361&lt;$I$5,"VENCIDO","A VENCER")))</f>
        <v>LIQUIDADO</v>
      </c>
      <c r="N361" s="211" t="str">
        <f>IF(Tabela4[[#This Row],[STATUS]]="LIQUIDADO","",Tabela4[[#This Row],[VCTO]]-$I$5)</f>
        <v/>
      </c>
      <c r="O361" s="5" t="s">
        <v>86</v>
      </c>
      <c r="P361" s="6"/>
      <c r="Q361" s="5"/>
      <c r="R361" s="5"/>
      <c r="S361" s="5"/>
      <c r="T361" s="5" t="s">
        <v>388</v>
      </c>
      <c r="U361" s="5"/>
      <c r="V361" s="5" t="s">
        <v>635</v>
      </c>
    </row>
    <row r="362" spans="1:22">
      <c r="A362" s="26" t="s">
        <v>0</v>
      </c>
      <c r="B362" s="6">
        <v>46036</v>
      </c>
      <c r="C362" s="11" t="s">
        <v>41</v>
      </c>
      <c r="D362" s="5">
        <v>286</v>
      </c>
      <c r="E362" s="10" t="s">
        <v>92</v>
      </c>
      <c r="F362" s="5" t="s">
        <v>25</v>
      </c>
      <c r="G362" s="225" t="s">
        <v>63</v>
      </c>
      <c r="H362" s="39">
        <v>3399</v>
      </c>
      <c r="I362" s="217">
        <v>46064</v>
      </c>
      <c r="J362" s="7" t="s">
        <v>91</v>
      </c>
      <c r="K362" s="5" t="s">
        <v>76</v>
      </c>
      <c r="L362" s="6">
        <v>46037</v>
      </c>
      <c r="M362" s="5" t="str">
        <f>IF(Tabela4[[#This Row],[RECOMPRADO]]="RECEBIDO","LIQUIDADO",IF(O362="LIQUIDADO","LIQUIDADO",IF(I362&lt;$I$5,"VENCIDO","A VENCER")))</f>
        <v>LIQUIDADO</v>
      </c>
      <c r="N362" s="211" t="str">
        <f>IF(Tabela4[[#This Row],[STATUS]]="LIQUIDADO","",Tabela4[[#This Row],[VCTO]]-$I$5)</f>
        <v/>
      </c>
      <c r="O362" s="11" t="s">
        <v>86</v>
      </c>
      <c r="P362" s="6"/>
      <c r="Q362" s="5"/>
      <c r="R362" s="5"/>
      <c r="S362" s="5"/>
      <c r="T362" s="5" t="s">
        <v>407</v>
      </c>
      <c r="U362" s="5"/>
      <c r="V362" s="5" t="s">
        <v>635</v>
      </c>
    </row>
    <row r="363" spans="1:22">
      <c r="A363" s="26" t="s">
        <v>0</v>
      </c>
      <c r="B363" s="6">
        <f>B362</f>
        <v>46036</v>
      </c>
      <c r="C363" s="11" t="s">
        <v>41</v>
      </c>
      <c r="D363" s="5">
        <v>286</v>
      </c>
      <c r="E363" s="10" t="s">
        <v>95</v>
      </c>
      <c r="F363" s="5" t="s">
        <v>25</v>
      </c>
      <c r="G363" s="225" t="s">
        <v>63</v>
      </c>
      <c r="H363" s="39">
        <v>3399</v>
      </c>
      <c r="I363" s="217">
        <v>46071</v>
      </c>
      <c r="J363" s="7" t="s">
        <v>91</v>
      </c>
      <c r="K363" s="5" t="s">
        <v>76</v>
      </c>
      <c r="L363" s="6">
        <v>46037</v>
      </c>
      <c r="M363" s="5" t="str">
        <f>IF(Tabela4[[#This Row],[RECOMPRADO]]="RECEBIDO","LIQUIDADO",IF(O363="LIQUIDADO","LIQUIDADO",IF(I363&lt;$I$5,"VENCIDO","A VENCER")))</f>
        <v>LIQUIDADO</v>
      </c>
      <c r="N363" s="211" t="str">
        <f>IF(Tabela4[[#This Row],[STATUS]]="LIQUIDADO","",Tabela4[[#This Row],[VCTO]]-$I$5)</f>
        <v/>
      </c>
      <c r="O363" s="11" t="s">
        <v>86</v>
      </c>
      <c r="P363" s="6"/>
      <c r="Q363" s="5"/>
      <c r="R363" s="5"/>
      <c r="S363" s="5"/>
      <c r="T363" s="5" t="s">
        <v>407</v>
      </c>
      <c r="U363" s="5"/>
      <c r="V363" s="5" t="s">
        <v>635</v>
      </c>
    </row>
    <row r="364" spans="1:22">
      <c r="A364" s="26" t="s">
        <v>0</v>
      </c>
      <c r="B364" s="6">
        <f>B363</f>
        <v>46036</v>
      </c>
      <c r="C364" s="11" t="s">
        <v>41</v>
      </c>
      <c r="D364" s="5">
        <v>286</v>
      </c>
      <c r="E364" s="10" t="s">
        <v>96</v>
      </c>
      <c r="F364" s="5" t="s">
        <v>25</v>
      </c>
      <c r="G364" s="225" t="s">
        <v>63</v>
      </c>
      <c r="H364" s="39">
        <v>3399</v>
      </c>
      <c r="I364" s="217">
        <v>46078</v>
      </c>
      <c r="J364" s="7" t="s">
        <v>91</v>
      </c>
      <c r="K364" s="5" t="s">
        <v>76</v>
      </c>
      <c r="L364" s="6">
        <v>46037</v>
      </c>
      <c r="M364" s="5" t="str">
        <f>IF(Tabela4[[#This Row],[RECOMPRADO]]="RECEBIDO","LIQUIDADO",IF(O364="LIQUIDADO","LIQUIDADO",IF(I364&lt;$I$5,"VENCIDO","A VENCER")))</f>
        <v>LIQUIDADO</v>
      </c>
      <c r="N364" s="211" t="str">
        <f>IF(Tabela4[[#This Row],[STATUS]]="LIQUIDADO","",Tabela4[[#This Row],[VCTO]]-$I$5)</f>
        <v/>
      </c>
      <c r="O364" s="11" t="s">
        <v>86</v>
      </c>
      <c r="P364" s="6"/>
      <c r="Q364" s="5"/>
      <c r="R364" s="5"/>
      <c r="S364" s="5"/>
      <c r="T364" s="5" t="s">
        <v>407</v>
      </c>
      <c r="U364" s="5"/>
      <c r="V364" s="5" t="s">
        <v>635</v>
      </c>
    </row>
    <row r="365" spans="1:22">
      <c r="A365" s="26" t="s">
        <v>7</v>
      </c>
      <c r="B365" s="6">
        <v>46036</v>
      </c>
      <c r="C365" s="11" t="s">
        <v>41</v>
      </c>
      <c r="D365" s="5">
        <v>4290</v>
      </c>
      <c r="E365" s="10" t="s">
        <v>92</v>
      </c>
      <c r="F365" s="5" t="s">
        <v>299</v>
      </c>
      <c r="G365" s="215" t="s">
        <v>66</v>
      </c>
      <c r="H365" s="39">
        <v>7766.91</v>
      </c>
      <c r="I365" s="217">
        <v>46096</v>
      </c>
      <c r="J365" s="7" t="s">
        <v>91</v>
      </c>
      <c r="K365" s="5" t="s">
        <v>76</v>
      </c>
      <c r="L365" s="6">
        <v>46037</v>
      </c>
      <c r="M365" s="5" t="str">
        <f>IF(Tabela4[[#This Row],[RECOMPRADO]]="RECEBIDO","LIQUIDADO",IF(O365="LIQUIDADO","LIQUIDADO",IF(I365&lt;$I$5,"VENCIDO","A VENCER")))</f>
        <v>LIQUIDADO</v>
      </c>
      <c r="N365" s="211" t="str">
        <f>IF(Tabela4[[#This Row],[STATUS]]="LIQUIDADO","",Tabela4[[#This Row],[VCTO]]-$I$5)</f>
        <v/>
      </c>
      <c r="O365" s="224" t="s">
        <v>86</v>
      </c>
      <c r="P365" s="6"/>
      <c r="Q365" s="5"/>
      <c r="R365" s="5"/>
      <c r="S365" s="5"/>
      <c r="T365" s="5" t="s">
        <v>219</v>
      </c>
      <c r="U365" s="5"/>
      <c r="V365" s="5" t="s">
        <v>635</v>
      </c>
    </row>
    <row r="366" spans="1:22">
      <c r="A366" s="26" t="s">
        <v>7</v>
      </c>
      <c r="B366" s="6">
        <f>B365</f>
        <v>46036</v>
      </c>
      <c r="C366" s="11" t="s">
        <v>41</v>
      </c>
      <c r="D366" s="5">
        <v>4290</v>
      </c>
      <c r="E366" s="10" t="s">
        <v>95</v>
      </c>
      <c r="F366" s="5" t="s">
        <v>299</v>
      </c>
      <c r="G366" s="215" t="s">
        <v>66</v>
      </c>
      <c r="H366" s="39">
        <v>7766.91</v>
      </c>
      <c r="I366" s="217">
        <v>46126</v>
      </c>
      <c r="J366" s="7" t="s">
        <v>91</v>
      </c>
      <c r="K366" s="5" t="s">
        <v>76</v>
      </c>
      <c r="L366" s="6">
        <v>46037</v>
      </c>
      <c r="M366" s="5" t="str">
        <f ca="1">IF(Tabela4[[#This Row],[RECOMPRADO]]="RECEBIDO","LIQUIDADO",IF(O366="LIQUIDADO","LIQUIDADO",IF(I366&lt;$I$5,"VENCIDO","A VENCER")))</f>
        <v>A VENCER</v>
      </c>
      <c r="N366" s="211">
        <f ca="1">IF(Tabela4[[#This Row],[STATUS]]="LIQUIDADO","",Tabela4[[#This Row],[VCTO]]-$I$5)</f>
        <v>28</v>
      </c>
      <c r="O366" s="219"/>
      <c r="P366" s="6"/>
      <c r="Q366" s="5"/>
      <c r="R366" s="5"/>
      <c r="S366" s="5"/>
      <c r="T366" s="5" t="s">
        <v>219</v>
      </c>
      <c r="U366" s="5"/>
      <c r="V366" s="5" t="s">
        <v>635</v>
      </c>
    </row>
    <row r="367" spans="1:22">
      <c r="A367" s="26" t="s">
        <v>0</v>
      </c>
      <c r="B367" s="6">
        <v>46037</v>
      </c>
      <c r="C367" s="11" t="s">
        <v>41</v>
      </c>
      <c r="D367" s="5">
        <v>288</v>
      </c>
      <c r="E367" s="10" t="s">
        <v>92</v>
      </c>
      <c r="F367" s="5" t="s">
        <v>26</v>
      </c>
      <c r="G367" s="225" t="s">
        <v>62</v>
      </c>
      <c r="H367" s="39">
        <v>8078</v>
      </c>
      <c r="I367" s="217">
        <v>46037</v>
      </c>
      <c r="J367" s="7" t="s">
        <v>125</v>
      </c>
      <c r="K367" s="5" t="s">
        <v>0</v>
      </c>
      <c r="L367" s="6"/>
      <c r="M367" s="5" t="str">
        <f>IF(Tabela4[[#This Row],[RECOMPRADO]]="RECEBIDO","LIQUIDADO",IF(O367="LIQUIDADO","LIQUIDADO",IF(I367&lt;$I$5,"VENCIDO","A VENCER")))</f>
        <v>LIQUIDADO</v>
      </c>
      <c r="N367" s="211" t="str">
        <f>IF(Tabela4[[#This Row],[STATUS]]="LIQUIDADO","",Tabela4[[#This Row],[VCTO]]-$I$5)</f>
        <v/>
      </c>
      <c r="O367" s="219" t="s">
        <v>86</v>
      </c>
      <c r="P367" s="6"/>
      <c r="Q367" s="5"/>
      <c r="R367" s="5"/>
      <c r="S367" s="5"/>
      <c r="T367" s="5"/>
      <c r="U367" s="5"/>
      <c r="V367" s="5"/>
    </row>
    <row r="368" spans="1:22">
      <c r="A368" s="26" t="s">
        <v>0</v>
      </c>
      <c r="B368" s="6">
        <v>46037</v>
      </c>
      <c r="C368" s="11" t="s">
        <v>41</v>
      </c>
      <c r="D368" s="5">
        <v>290</v>
      </c>
      <c r="E368" s="10" t="s">
        <v>92</v>
      </c>
      <c r="F368" s="5" t="s">
        <v>27</v>
      </c>
      <c r="G368" s="225" t="s">
        <v>61</v>
      </c>
      <c r="H368" s="39">
        <v>1754.32</v>
      </c>
      <c r="I368" s="217">
        <v>46065</v>
      </c>
      <c r="J368" s="7" t="s">
        <v>91</v>
      </c>
      <c r="K368" s="5" t="s">
        <v>81</v>
      </c>
      <c r="L368" s="6">
        <v>46038</v>
      </c>
      <c r="M368" s="5" t="str">
        <f>IF(Tabela4[[#This Row],[RECOMPRADO]]="RECEBIDO","LIQUIDADO",IF(O368="LIQUIDADO","LIQUIDADO",IF(I368&lt;$I$5,"VENCIDO","A VENCER")))</f>
        <v>LIQUIDADO</v>
      </c>
      <c r="N368" s="211" t="str">
        <f>IF(Tabela4[[#This Row],[STATUS]]="LIQUIDADO","",Tabela4[[#This Row],[VCTO]]-$I$5)</f>
        <v/>
      </c>
      <c r="O368" s="11" t="s">
        <v>86</v>
      </c>
      <c r="P368" s="6"/>
      <c r="Q368" s="5"/>
      <c r="R368" s="5"/>
      <c r="S368" s="5"/>
      <c r="T368" s="5"/>
      <c r="U368" s="5"/>
      <c r="V368" s="5"/>
    </row>
    <row r="369" spans="1:22">
      <c r="A369" s="26" t="s">
        <v>0</v>
      </c>
      <c r="B369" s="6">
        <f>B368</f>
        <v>46037</v>
      </c>
      <c r="C369" s="11" t="s">
        <v>41</v>
      </c>
      <c r="D369" s="5">
        <v>290</v>
      </c>
      <c r="E369" s="10" t="s">
        <v>95</v>
      </c>
      <c r="F369" s="5" t="s">
        <v>27</v>
      </c>
      <c r="G369" s="225" t="s">
        <v>61</v>
      </c>
      <c r="H369" s="39">
        <v>1430</v>
      </c>
      <c r="I369" s="217">
        <v>46072</v>
      </c>
      <c r="J369" s="7" t="s">
        <v>91</v>
      </c>
      <c r="K369" s="5" t="s">
        <v>81</v>
      </c>
      <c r="L369" s="6">
        <v>46038</v>
      </c>
      <c r="M369" s="5" t="str">
        <f>IF(Tabela4[[#This Row],[RECOMPRADO]]="RECEBIDO","LIQUIDADO",IF(O369="LIQUIDADO","LIQUIDADO",IF(I369&lt;$I$5,"VENCIDO","A VENCER")))</f>
        <v>LIQUIDADO</v>
      </c>
      <c r="N369" s="211" t="str">
        <f>IF(Tabela4[[#This Row],[STATUS]]="LIQUIDADO","",Tabela4[[#This Row],[VCTO]]-$I$5)</f>
        <v/>
      </c>
      <c r="O369" s="11" t="s">
        <v>86</v>
      </c>
      <c r="P369" s="6"/>
      <c r="Q369" s="5"/>
      <c r="R369" s="5"/>
      <c r="S369" s="5"/>
      <c r="T369" s="5"/>
      <c r="U369" s="5"/>
      <c r="V369" s="5"/>
    </row>
    <row r="370" spans="1:22">
      <c r="A370" s="26" t="s">
        <v>0</v>
      </c>
      <c r="B370" s="6">
        <f>B369</f>
        <v>46037</v>
      </c>
      <c r="C370" s="11" t="s">
        <v>41</v>
      </c>
      <c r="D370" s="5">
        <v>290</v>
      </c>
      <c r="E370" s="10" t="s">
        <v>96</v>
      </c>
      <c r="F370" s="5" t="s">
        <v>27</v>
      </c>
      <c r="G370" s="225" t="s">
        <v>61</v>
      </c>
      <c r="H370" s="39">
        <v>1430</v>
      </c>
      <c r="I370" s="217">
        <v>46079</v>
      </c>
      <c r="J370" s="7" t="s">
        <v>91</v>
      </c>
      <c r="K370" s="5" t="s">
        <v>81</v>
      </c>
      <c r="L370" s="6">
        <v>46038</v>
      </c>
      <c r="M370" s="5" t="str">
        <f>IF(Tabela4[[#This Row],[RECOMPRADO]]="RECEBIDO","LIQUIDADO",IF(O370="LIQUIDADO","LIQUIDADO",IF(I370&lt;$I$5,"VENCIDO","A VENCER")))</f>
        <v>LIQUIDADO</v>
      </c>
      <c r="N370" s="211" t="str">
        <f>IF(Tabela4[[#This Row],[STATUS]]="LIQUIDADO","",Tabela4[[#This Row],[VCTO]]-$I$5)</f>
        <v/>
      </c>
      <c r="O370" s="11" t="s">
        <v>86</v>
      </c>
      <c r="P370" s="6"/>
      <c r="Q370" s="5"/>
      <c r="R370" s="5"/>
      <c r="S370" s="5"/>
      <c r="T370" s="5"/>
      <c r="U370" s="5"/>
      <c r="V370" s="5"/>
    </row>
    <row r="371" spans="1:22">
      <c r="A371" s="26" t="s">
        <v>0</v>
      </c>
      <c r="B371" s="6">
        <v>46037</v>
      </c>
      <c r="C371" s="11" t="s">
        <v>43</v>
      </c>
      <c r="D371" s="5">
        <v>290</v>
      </c>
      <c r="E371" s="10" t="s">
        <v>92</v>
      </c>
      <c r="F371" s="5" t="s">
        <v>27</v>
      </c>
      <c r="G371" s="225" t="s">
        <v>61</v>
      </c>
      <c r="H371" s="39">
        <v>1430</v>
      </c>
      <c r="I371" s="217">
        <v>46065</v>
      </c>
      <c r="J371" s="7" t="s">
        <v>90</v>
      </c>
      <c r="K371" s="5" t="s">
        <v>0</v>
      </c>
      <c r="L371" s="6">
        <v>46038</v>
      </c>
      <c r="M371" s="5" t="str">
        <f>IF(Tabela4[[#This Row],[RECOMPRADO]]="RECEBIDO","LIQUIDADO",IF(O371="LIQUIDADO","LIQUIDADO",IF(I371&lt;$I$5,"VENCIDO","A VENCER")))</f>
        <v>LIQUIDADO</v>
      </c>
      <c r="N371" s="211" t="str">
        <f>IF(Tabela4[[#This Row],[STATUS]]="LIQUIDADO","",Tabela4[[#This Row],[VCTO]]-$I$5)</f>
        <v/>
      </c>
      <c r="O371" s="224" t="s">
        <v>86</v>
      </c>
      <c r="P371" s="6"/>
      <c r="Q371" s="5"/>
      <c r="R371" s="5"/>
      <c r="S371" s="5"/>
      <c r="T371" s="5" t="s">
        <v>266</v>
      </c>
      <c r="U371" s="5"/>
      <c r="V371" s="5"/>
    </row>
    <row r="372" spans="1:22">
      <c r="A372" s="26" t="s">
        <v>0</v>
      </c>
      <c r="B372" s="6">
        <f>B371</f>
        <v>46037</v>
      </c>
      <c r="C372" s="11" t="s">
        <v>43</v>
      </c>
      <c r="D372" s="5">
        <v>290</v>
      </c>
      <c r="E372" s="10" t="s">
        <v>95</v>
      </c>
      <c r="F372" s="5" t="s">
        <v>27</v>
      </c>
      <c r="G372" s="225" t="s">
        <v>61</v>
      </c>
      <c r="H372" s="39">
        <v>1430</v>
      </c>
      <c r="I372" s="217">
        <v>46072</v>
      </c>
      <c r="J372" s="7" t="s">
        <v>90</v>
      </c>
      <c r="K372" s="5" t="s">
        <v>0</v>
      </c>
      <c r="L372" s="6">
        <v>46038</v>
      </c>
      <c r="M372" s="5" t="str">
        <f>IF(Tabela4[[#This Row],[RECOMPRADO]]="RECEBIDO","LIQUIDADO",IF(O372="LIQUIDADO","LIQUIDADO",IF(I372&lt;$I$5,"VENCIDO","A VENCER")))</f>
        <v>LIQUIDADO</v>
      </c>
      <c r="N372" s="211" t="str">
        <f>IF(Tabela4[[#This Row],[STATUS]]="LIQUIDADO","",Tabela4[[#This Row],[VCTO]]-$I$5)</f>
        <v/>
      </c>
      <c r="O372" s="219" t="s">
        <v>86</v>
      </c>
      <c r="P372" s="6"/>
      <c r="Q372" s="5"/>
      <c r="R372" s="5"/>
      <c r="S372" s="5"/>
      <c r="T372" s="5" t="s">
        <v>266</v>
      </c>
      <c r="U372" s="5"/>
      <c r="V372" s="5"/>
    </row>
    <row r="373" spans="1:22">
      <c r="A373" s="26" t="s">
        <v>0</v>
      </c>
      <c r="B373" s="6">
        <f>B372</f>
        <v>46037</v>
      </c>
      <c r="C373" s="11" t="s">
        <v>43</v>
      </c>
      <c r="D373" s="5">
        <v>290</v>
      </c>
      <c r="E373" s="10" t="s">
        <v>96</v>
      </c>
      <c r="F373" s="5" t="s">
        <v>27</v>
      </c>
      <c r="G373" s="225" t="s">
        <v>61</v>
      </c>
      <c r="H373" s="39">
        <v>1430</v>
      </c>
      <c r="I373" s="217">
        <v>46079</v>
      </c>
      <c r="J373" s="7" t="s">
        <v>90</v>
      </c>
      <c r="K373" s="5" t="s">
        <v>0</v>
      </c>
      <c r="L373" s="6">
        <v>46038</v>
      </c>
      <c r="M373" s="5" t="str">
        <f>IF(Tabela4[[#This Row],[RECOMPRADO]]="RECEBIDO","LIQUIDADO",IF(O373="LIQUIDADO","LIQUIDADO",IF(I373&lt;$I$5,"VENCIDO","A VENCER")))</f>
        <v>LIQUIDADO</v>
      </c>
      <c r="N373" s="211" t="str">
        <f>IF(Tabela4[[#This Row],[STATUS]]="LIQUIDADO","",Tabela4[[#This Row],[VCTO]]-$I$5)</f>
        <v/>
      </c>
      <c r="O373" s="219" t="s">
        <v>86</v>
      </c>
      <c r="P373" s="6"/>
      <c r="Q373" s="5"/>
      <c r="R373" s="5"/>
      <c r="S373" s="5"/>
      <c r="T373" s="5" t="s">
        <v>266</v>
      </c>
      <c r="U373" s="5"/>
      <c r="V373" s="5"/>
    </row>
    <row r="374" spans="1:22">
      <c r="A374" s="26" t="s">
        <v>0</v>
      </c>
      <c r="B374" s="6">
        <v>46038</v>
      </c>
      <c r="C374" s="11" t="s">
        <v>41</v>
      </c>
      <c r="D374" s="5">
        <v>291</v>
      </c>
      <c r="E374" s="10"/>
      <c r="F374" s="5" t="s">
        <v>28</v>
      </c>
      <c r="G374" s="225" t="s">
        <v>146</v>
      </c>
      <c r="H374" s="39">
        <v>9450</v>
      </c>
      <c r="I374" s="217">
        <v>46038</v>
      </c>
      <c r="J374" s="7" t="s">
        <v>90</v>
      </c>
      <c r="K374" s="5" t="s">
        <v>0</v>
      </c>
      <c r="L374" s="6"/>
      <c r="M374" s="5" t="str">
        <f>IF(Tabela4[[#This Row],[RECOMPRADO]]="RECEBIDO","LIQUIDADO",IF(O374="LIQUIDADO","LIQUIDADO",IF(I374&lt;$I$5,"VENCIDO","A VENCER")))</f>
        <v>LIQUIDADO</v>
      </c>
      <c r="N374" s="211" t="str">
        <f>IF(Tabela4[[#This Row],[STATUS]]="LIQUIDADO","",Tabela4[[#This Row],[VCTO]]-$I$5)</f>
        <v/>
      </c>
      <c r="O374" s="11" t="s">
        <v>86</v>
      </c>
      <c r="P374" s="6"/>
      <c r="Q374" s="5"/>
      <c r="R374" s="5"/>
      <c r="S374" s="5"/>
      <c r="T374" s="5"/>
      <c r="U374" s="5"/>
      <c r="V374" s="5"/>
    </row>
    <row r="375" spans="1:22">
      <c r="A375" s="5" t="s">
        <v>0</v>
      </c>
      <c r="B375" s="6">
        <v>46038</v>
      </c>
      <c r="C375" s="11" t="s">
        <v>41</v>
      </c>
      <c r="D375" s="5">
        <v>292</v>
      </c>
      <c r="E375" s="10" t="s">
        <v>92</v>
      </c>
      <c r="F375" s="5" t="s">
        <v>29</v>
      </c>
      <c r="G375" s="225" t="s">
        <v>65</v>
      </c>
      <c r="H375" s="39">
        <v>2260</v>
      </c>
      <c r="I375" s="217">
        <v>46069</v>
      </c>
      <c r="J375" s="7" t="s">
        <v>91</v>
      </c>
      <c r="K375" s="5" t="s">
        <v>81</v>
      </c>
      <c r="L375" s="6">
        <v>46038</v>
      </c>
      <c r="M375" s="5" t="str">
        <f>IF(Tabela4[[#This Row],[RECOMPRADO]]="RECEBIDO","LIQUIDADO",IF(O375="LIQUIDADO","LIQUIDADO",IF(I375&lt;$I$5,"VENCIDO","A VENCER")))</f>
        <v>LIQUIDADO</v>
      </c>
      <c r="N375" s="211" t="str">
        <f>IF(Tabela4[[#This Row],[STATUS]]="LIQUIDADO","",Tabela4[[#This Row],[VCTO]]-$I$5)</f>
        <v/>
      </c>
      <c r="O375" s="11" t="s">
        <v>86</v>
      </c>
      <c r="P375" s="6"/>
      <c r="Q375" s="5"/>
      <c r="R375" s="5"/>
      <c r="S375" s="5"/>
      <c r="T375" s="5" t="s">
        <v>477</v>
      </c>
      <c r="U375" s="5"/>
      <c r="V375" s="5"/>
    </row>
    <row r="376" spans="1:22">
      <c r="A376" s="5" t="s">
        <v>0</v>
      </c>
      <c r="B376" s="6">
        <f>B375</f>
        <v>46038</v>
      </c>
      <c r="C376" s="11" t="s">
        <v>41</v>
      </c>
      <c r="D376" s="5">
        <v>292</v>
      </c>
      <c r="E376" s="10" t="s">
        <v>95</v>
      </c>
      <c r="F376" s="5" t="s">
        <v>29</v>
      </c>
      <c r="G376" s="225" t="s">
        <v>147</v>
      </c>
      <c r="H376" s="39">
        <v>2260</v>
      </c>
      <c r="I376" s="217">
        <v>46076</v>
      </c>
      <c r="J376" s="7" t="s">
        <v>91</v>
      </c>
      <c r="K376" s="5" t="s">
        <v>81</v>
      </c>
      <c r="L376" s="6">
        <v>46038</v>
      </c>
      <c r="M376" s="5" t="str">
        <f>IF(Tabela4[[#This Row],[RECOMPRADO]]="RECEBIDO","LIQUIDADO",IF(O376="LIQUIDADO","LIQUIDADO",IF(I376&lt;$I$5,"VENCIDO","A VENCER")))</f>
        <v>LIQUIDADO</v>
      </c>
      <c r="N376" s="211" t="str">
        <f>IF(Tabela4[[#This Row],[STATUS]]="LIQUIDADO","",Tabela4[[#This Row],[VCTO]]-$I$5)</f>
        <v/>
      </c>
      <c r="O376" s="11" t="s">
        <v>86</v>
      </c>
      <c r="P376" s="6"/>
      <c r="Q376" s="5"/>
      <c r="R376" s="5"/>
      <c r="S376" s="5"/>
      <c r="T376" s="5"/>
      <c r="U376" s="5"/>
      <c r="V376" s="5"/>
    </row>
    <row r="377" spans="1:22">
      <c r="A377" s="228" t="s">
        <v>0</v>
      </c>
      <c r="B377" s="254">
        <f>B376</f>
        <v>46038</v>
      </c>
      <c r="C377" s="11" t="s">
        <v>41</v>
      </c>
      <c r="D377" s="228">
        <v>292</v>
      </c>
      <c r="E377" s="10" t="s">
        <v>96</v>
      </c>
      <c r="F377" s="5" t="s">
        <v>29</v>
      </c>
      <c r="G377" s="225" t="s">
        <v>147</v>
      </c>
      <c r="H377" s="39">
        <v>2260</v>
      </c>
      <c r="I377" s="217">
        <v>46083</v>
      </c>
      <c r="J377" s="7" t="s">
        <v>91</v>
      </c>
      <c r="K377" s="5" t="s">
        <v>81</v>
      </c>
      <c r="L377" s="6">
        <v>46038</v>
      </c>
      <c r="M377" s="5" t="str">
        <f>IF(Tabela4[[#This Row],[RECOMPRADO]]="RECEBIDO","LIQUIDADO",IF(O377="LIQUIDADO","LIQUIDADO",IF(I377&lt;$I$5,"VENCIDO","A VENCER")))</f>
        <v>LIQUIDADO</v>
      </c>
      <c r="N377" s="211" t="str">
        <f>IF(Tabela4[[#This Row],[STATUS]]="LIQUIDADO","",Tabela4[[#This Row],[VCTO]]-$I$5)</f>
        <v/>
      </c>
      <c r="O377" s="224" t="s">
        <v>86</v>
      </c>
      <c r="P377" s="6"/>
      <c r="Q377" s="5"/>
      <c r="R377" s="5"/>
      <c r="S377" s="5"/>
      <c r="T377" s="5"/>
      <c r="U377" s="5"/>
      <c r="V377" s="5"/>
    </row>
    <row r="378" spans="1:22">
      <c r="A378" s="26" t="s">
        <v>0</v>
      </c>
      <c r="B378" s="11">
        <v>46038</v>
      </c>
      <c r="C378" s="11" t="s">
        <v>41</v>
      </c>
      <c r="D378" s="228">
        <v>293</v>
      </c>
      <c r="E378" s="10" t="s">
        <v>92</v>
      </c>
      <c r="F378" s="5" t="s">
        <v>30</v>
      </c>
      <c r="G378" s="225" t="s">
        <v>69</v>
      </c>
      <c r="H378" s="39">
        <v>6117.5</v>
      </c>
      <c r="I378" s="217">
        <v>46071</v>
      </c>
      <c r="J378" s="7" t="s">
        <v>91</v>
      </c>
      <c r="K378" s="5" t="s">
        <v>81</v>
      </c>
      <c r="L378" s="6">
        <v>46038</v>
      </c>
      <c r="M378" s="26" t="str">
        <f>IF(Tabela4[[#This Row],[RECOMPRADO]]="RECEBIDO","LIQUIDADO",IF(O378="LIQUIDADO","LIQUIDADO",IF(I378&lt;$I$5,"VENCIDO","A VENCER")))</f>
        <v>LIQUIDADO</v>
      </c>
      <c r="N378" s="212" t="str">
        <f>IF(Tabela4[[#This Row],[STATUS]]="LIQUIDADO","",Tabela4[[#This Row],[VCTO]]-$I$5)</f>
        <v/>
      </c>
      <c r="O378" s="219" t="s">
        <v>86</v>
      </c>
      <c r="P378" s="11"/>
      <c r="Q378" s="26"/>
      <c r="R378" s="26"/>
      <c r="S378" s="26"/>
      <c r="T378" s="26" t="s">
        <v>535</v>
      </c>
      <c r="U378" s="26"/>
      <c r="V378" s="5"/>
    </row>
    <row r="379" spans="1:22">
      <c r="A379" s="5" t="s">
        <v>0</v>
      </c>
      <c r="B379" s="6">
        <f>B378</f>
        <v>46038</v>
      </c>
      <c r="C379" s="11" t="s">
        <v>41</v>
      </c>
      <c r="D379" s="228">
        <v>293</v>
      </c>
      <c r="E379" s="10" t="s">
        <v>95</v>
      </c>
      <c r="F379" s="5" t="s">
        <v>30</v>
      </c>
      <c r="G379" s="225" t="s">
        <v>69</v>
      </c>
      <c r="H379" s="39">
        <v>6117.5</v>
      </c>
      <c r="I379" s="217">
        <v>46078</v>
      </c>
      <c r="J379" s="7" t="s">
        <v>91</v>
      </c>
      <c r="K379" s="5" t="s">
        <v>81</v>
      </c>
      <c r="L379" s="6">
        <v>46038</v>
      </c>
      <c r="M379" s="5" t="str">
        <f>IF(Tabela4[[#This Row],[RECOMPRADO]]="RECEBIDO","LIQUIDADO",IF(O379="LIQUIDADO","LIQUIDADO",IF(I379&lt;$I$5,"VENCIDO","A VENCER")))</f>
        <v>LIQUIDADO</v>
      </c>
      <c r="N379" s="211" t="str">
        <f>IF(Tabela4[[#This Row],[STATUS]]="LIQUIDADO","",Tabela4[[#This Row],[VCTO]]-$I$5)</f>
        <v/>
      </c>
      <c r="O379" s="219" t="s">
        <v>86</v>
      </c>
      <c r="P379" s="6"/>
      <c r="Q379" s="5"/>
      <c r="R379" s="5"/>
      <c r="S379" s="5"/>
      <c r="T379" s="5" t="s">
        <v>541</v>
      </c>
      <c r="U379" s="5"/>
      <c r="V379" s="5"/>
    </row>
    <row r="380" spans="1:22">
      <c r="A380" s="5" t="s">
        <v>0</v>
      </c>
      <c r="B380" s="6">
        <f>B379</f>
        <v>46038</v>
      </c>
      <c r="C380" s="11" t="s">
        <v>41</v>
      </c>
      <c r="D380" s="228">
        <v>293</v>
      </c>
      <c r="E380" s="10" t="s">
        <v>96</v>
      </c>
      <c r="F380" s="5" t="s">
        <v>30</v>
      </c>
      <c r="G380" s="225" t="s">
        <v>69</v>
      </c>
      <c r="H380" s="39">
        <v>6117.5</v>
      </c>
      <c r="I380" s="217">
        <v>46085</v>
      </c>
      <c r="J380" s="7" t="s">
        <v>91</v>
      </c>
      <c r="K380" s="5" t="s">
        <v>81</v>
      </c>
      <c r="L380" s="6">
        <v>46038</v>
      </c>
      <c r="M380" s="5" t="str">
        <f>IF(Tabela4[[#This Row],[RECOMPRADO]]="RECEBIDO","LIQUIDADO",IF(O380="LIQUIDADO","LIQUIDADO",IF(I380&lt;$I$5,"VENCIDO","A VENCER")))</f>
        <v>LIQUIDADO</v>
      </c>
      <c r="N380" s="211" t="str">
        <f>IF(Tabela4[[#This Row],[STATUS]]="LIQUIDADO","",Tabela4[[#This Row],[VCTO]]-$I$5)</f>
        <v/>
      </c>
      <c r="O380" s="11" t="s">
        <v>86</v>
      </c>
      <c r="P380" s="6"/>
      <c r="Q380" s="5"/>
      <c r="R380" s="5"/>
      <c r="S380" s="5"/>
      <c r="T380" s="5"/>
      <c r="U380" s="5"/>
      <c r="V380" s="5"/>
    </row>
    <row r="381" spans="1:22">
      <c r="A381" s="26" t="s">
        <v>0</v>
      </c>
      <c r="B381" s="11">
        <v>46038</v>
      </c>
      <c r="C381" s="11" t="s">
        <v>43</v>
      </c>
      <c r="D381" s="228">
        <v>293</v>
      </c>
      <c r="E381" s="10" t="s">
        <v>92</v>
      </c>
      <c r="F381" s="5" t="s">
        <v>30</v>
      </c>
      <c r="G381" s="225" t="s">
        <v>69</v>
      </c>
      <c r="H381" s="39">
        <v>6117.5</v>
      </c>
      <c r="I381" s="217">
        <v>46071</v>
      </c>
      <c r="J381" s="7" t="s">
        <v>90</v>
      </c>
      <c r="K381" s="5" t="s">
        <v>0</v>
      </c>
      <c r="L381" s="6" t="s">
        <v>485</v>
      </c>
      <c r="M381" s="26" t="str">
        <f>IF(Tabela4[[#This Row],[RECOMPRADO]]="RECEBIDO","LIQUIDADO",IF(O381="LIQUIDADO","LIQUIDADO",IF(I381&lt;$I$5,"VENCIDO","A VENCER")))</f>
        <v>LIQUIDADO</v>
      </c>
      <c r="N381" s="212" t="str">
        <f>IF(Tabela4[[#This Row],[STATUS]]="LIQUIDADO","",Tabela4[[#This Row],[VCTO]]-$I$5)</f>
        <v/>
      </c>
      <c r="O381" s="11" t="s">
        <v>86</v>
      </c>
      <c r="P381" s="11"/>
      <c r="Q381" s="26"/>
      <c r="R381" s="26"/>
      <c r="S381" s="26"/>
      <c r="T381" s="26" t="s">
        <v>584</v>
      </c>
      <c r="U381" s="26"/>
      <c r="V381" s="5"/>
    </row>
    <row r="382" spans="1:22">
      <c r="A382" s="26" t="s">
        <v>0</v>
      </c>
      <c r="B382" s="11">
        <f>B381</f>
        <v>46038</v>
      </c>
      <c r="C382" s="11" t="s">
        <v>43</v>
      </c>
      <c r="D382" s="228">
        <v>293</v>
      </c>
      <c r="E382" s="10" t="s">
        <v>95</v>
      </c>
      <c r="F382" s="5" t="s">
        <v>30</v>
      </c>
      <c r="G382" s="225" t="s">
        <v>69</v>
      </c>
      <c r="H382" s="39">
        <v>6117.5</v>
      </c>
      <c r="I382" s="217">
        <v>46078</v>
      </c>
      <c r="J382" s="7" t="s">
        <v>90</v>
      </c>
      <c r="K382" s="5" t="s">
        <v>0</v>
      </c>
      <c r="L382" s="6" t="s">
        <v>485</v>
      </c>
      <c r="M382" s="26" t="str">
        <f ca="1">IF(Tabela4[[#This Row],[RECOMPRADO]]="RECEBIDO","LIQUIDADO",IF(O382="LIQUIDADO","LIQUIDADO",IF(I382&lt;$I$5,"VENCIDO","A VENCER")))</f>
        <v>VENCIDO</v>
      </c>
      <c r="N382" s="212">
        <f ca="1">IF(Tabela4[[#This Row],[STATUS]]="LIQUIDADO","",Tabela4[[#This Row],[VCTO]]-$I$5)</f>
        <v>-20</v>
      </c>
      <c r="O382" s="11"/>
      <c r="P382" s="11"/>
      <c r="Q382" s="26"/>
      <c r="R382" s="26"/>
      <c r="S382" s="26"/>
      <c r="T382" s="26" t="s">
        <v>639</v>
      </c>
      <c r="U382" s="26"/>
      <c r="V382" s="5"/>
    </row>
    <row r="383" spans="1:22">
      <c r="A383" s="5" t="s">
        <v>0</v>
      </c>
      <c r="B383" s="6">
        <f>B382</f>
        <v>46038</v>
      </c>
      <c r="C383" s="11" t="s">
        <v>43</v>
      </c>
      <c r="D383" s="228">
        <v>293</v>
      </c>
      <c r="E383" s="10" t="s">
        <v>96</v>
      </c>
      <c r="F383" s="5" t="s">
        <v>30</v>
      </c>
      <c r="G383" s="225" t="s">
        <v>69</v>
      </c>
      <c r="H383" s="39">
        <v>6117.5</v>
      </c>
      <c r="I383" s="217">
        <v>46085</v>
      </c>
      <c r="J383" s="7" t="s">
        <v>90</v>
      </c>
      <c r="K383" s="5" t="s">
        <v>0</v>
      </c>
      <c r="L383" s="6" t="s">
        <v>485</v>
      </c>
      <c r="M383" s="5" t="str">
        <f>IF(Tabela4[[#This Row],[RECOMPRADO]]="RECEBIDO","LIQUIDADO",IF(O383="LIQUIDADO","LIQUIDADO",IF(I383&lt;$I$5,"VENCIDO","A VENCER")))</f>
        <v>LIQUIDADO</v>
      </c>
      <c r="N383" s="211" t="str">
        <f>IF(Tabela4[[#This Row],[STATUS]]="LIQUIDADO","",Tabela4[[#This Row],[VCTO]]-$I$5)</f>
        <v/>
      </c>
      <c r="O383" s="224" t="s">
        <v>86</v>
      </c>
      <c r="P383" s="6"/>
      <c r="Q383" s="5"/>
      <c r="R383" s="5"/>
      <c r="S383" s="5"/>
      <c r="T383" s="5" t="s">
        <v>266</v>
      </c>
      <c r="U383" s="5"/>
      <c r="V383" s="5"/>
    </row>
    <row r="384" spans="1:22">
      <c r="A384" s="26" t="s">
        <v>0</v>
      </c>
      <c r="B384" s="11">
        <v>46038</v>
      </c>
      <c r="C384" s="11" t="s">
        <v>41</v>
      </c>
      <c r="D384" s="228">
        <v>294</v>
      </c>
      <c r="E384" s="10" t="s">
        <v>92</v>
      </c>
      <c r="F384" s="5" t="s">
        <v>31</v>
      </c>
      <c r="G384" s="225" t="s">
        <v>70</v>
      </c>
      <c r="H384" s="39">
        <v>3140</v>
      </c>
      <c r="I384" s="217">
        <v>46070</v>
      </c>
      <c r="J384" s="7" t="s">
        <v>91</v>
      </c>
      <c r="K384" s="5" t="s">
        <v>81</v>
      </c>
      <c r="L384" s="6">
        <v>46038</v>
      </c>
      <c r="M384" s="26" t="str">
        <f>IF(Tabela4[[#This Row],[RECOMPRADO]]="RECEBIDO","LIQUIDADO",IF(O384="LIQUIDADO","LIQUIDADO",IF(I384&lt;$I$5,"VENCIDO","A VENCER")))</f>
        <v>LIQUIDADO</v>
      </c>
      <c r="N384" s="212" t="str">
        <f>IF(Tabela4[[#This Row],[STATUS]]="LIQUIDADO","",Tabela4[[#This Row],[VCTO]]-$I$5)</f>
        <v/>
      </c>
      <c r="O384" s="219" t="s">
        <v>86</v>
      </c>
      <c r="P384" s="11"/>
      <c r="Q384" s="26"/>
      <c r="R384" s="26"/>
      <c r="S384" s="26"/>
      <c r="T384" s="26"/>
      <c r="U384" s="26"/>
      <c r="V384" s="5"/>
    </row>
    <row r="385" spans="1:22">
      <c r="A385" s="5" t="s">
        <v>0</v>
      </c>
      <c r="B385" s="6">
        <f>B384</f>
        <v>46038</v>
      </c>
      <c r="C385" s="11" t="s">
        <v>41</v>
      </c>
      <c r="D385" s="228">
        <v>294</v>
      </c>
      <c r="E385" s="10" t="s">
        <v>95</v>
      </c>
      <c r="F385" s="5" t="s">
        <v>31</v>
      </c>
      <c r="G385" s="225" t="s">
        <v>70</v>
      </c>
      <c r="H385" s="39">
        <v>3140</v>
      </c>
      <c r="I385" s="217">
        <v>46077</v>
      </c>
      <c r="J385" s="7" t="s">
        <v>91</v>
      </c>
      <c r="K385" s="5" t="s">
        <v>81</v>
      </c>
      <c r="L385" s="6">
        <v>46038</v>
      </c>
      <c r="M385" s="5" t="str">
        <f>IF(Tabela4[[#This Row],[RECOMPRADO]]="RECEBIDO","LIQUIDADO",IF(O385="LIQUIDADO","LIQUIDADO",IF(I385&lt;$I$5,"VENCIDO","A VENCER")))</f>
        <v>LIQUIDADO</v>
      </c>
      <c r="N385" s="211" t="str">
        <f>IF(Tabela4[[#This Row],[STATUS]]="LIQUIDADO","",Tabela4[[#This Row],[VCTO]]-$I$5)</f>
        <v/>
      </c>
      <c r="O385" s="224" t="s">
        <v>86</v>
      </c>
      <c r="P385" s="6"/>
      <c r="Q385" s="5"/>
      <c r="R385" s="5"/>
      <c r="S385" s="5"/>
      <c r="T385" s="5"/>
      <c r="U385" s="5"/>
      <c r="V385" s="5"/>
    </row>
    <row r="386" spans="1:22">
      <c r="A386" s="26" t="s">
        <v>0</v>
      </c>
      <c r="B386" s="11">
        <f>B385</f>
        <v>46038</v>
      </c>
      <c r="C386" s="11" t="s">
        <v>41</v>
      </c>
      <c r="D386" s="228">
        <v>294</v>
      </c>
      <c r="E386" s="10" t="s">
        <v>96</v>
      </c>
      <c r="F386" s="5" t="s">
        <v>31</v>
      </c>
      <c r="G386" s="225" t="s">
        <v>70</v>
      </c>
      <c r="H386" s="39">
        <v>3140</v>
      </c>
      <c r="I386" s="217">
        <v>46084</v>
      </c>
      <c r="J386" s="7" t="s">
        <v>91</v>
      </c>
      <c r="K386" s="5" t="s">
        <v>81</v>
      </c>
      <c r="L386" s="6">
        <v>46038</v>
      </c>
      <c r="M386" s="26" t="str">
        <f>IF(Tabela4[[#This Row],[RECOMPRADO]]="RECEBIDO","LIQUIDADO",IF(O386="LIQUIDADO","LIQUIDADO",IF(I386&lt;$I$5,"VENCIDO","A VENCER")))</f>
        <v>LIQUIDADO</v>
      </c>
      <c r="N386" s="212" t="str">
        <f>IF(Tabela4[[#This Row],[STATUS]]="LIQUIDADO","",Tabela4[[#This Row],[VCTO]]-$I$5)</f>
        <v/>
      </c>
      <c r="O386" s="11" t="s">
        <v>86</v>
      </c>
      <c r="P386" s="11"/>
      <c r="Q386" s="26"/>
      <c r="R386" s="26"/>
      <c r="S386" s="26"/>
      <c r="T386" s="26"/>
      <c r="U386" s="26"/>
      <c r="V386" s="5"/>
    </row>
    <row r="387" spans="1:22">
      <c r="A387" s="218" t="s">
        <v>0</v>
      </c>
      <c r="B387" s="219">
        <v>46041</v>
      </c>
      <c r="C387" s="11" t="s">
        <v>41</v>
      </c>
      <c r="D387" s="240">
        <v>501563</v>
      </c>
      <c r="E387" s="10" t="s">
        <v>92</v>
      </c>
      <c r="F387" s="6" t="s">
        <v>408</v>
      </c>
      <c r="G387" s="225"/>
      <c r="H387" s="39">
        <v>1248</v>
      </c>
      <c r="I387" s="235">
        <v>46071</v>
      </c>
      <c r="J387" s="221" t="s">
        <v>90</v>
      </c>
      <c r="K387" s="218" t="s">
        <v>78</v>
      </c>
      <c r="L387" s="219"/>
      <c r="M387" s="218" t="str">
        <f>IF(Tabela4[[#This Row],[RECOMPRADO]]="RECEBIDO","LIQUIDADO",IF(O387="LIQUIDADO","LIQUIDADO",IF(I387&lt;$I$5,"VENCIDO","A VENCER")))</f>
        <v>LIQUIDADO</v>
      </c>
      <c r="N387" s="222" t="str">
        <f>IF(Tabela4[[#This Row],[STATUS]]="LIQUIDADO","",Tabela4[[#This Row],[VCTO]]-$I$5)</f>
        <v/>
      </c>
      <c r="O387" s="223" t="s">
        <v>86</v>
      </c>
      <c r="P387" s="219"/>
      <c r="Q387" s="218"/>
      <c r="R387" s="218"/>
      <c r="S387" s="218"/>
      <c r="T387" s="5"/>
      <c r="U387" s="5"/>
      <c r="V387" s="5"/>
    </row>
    <row r="388" spans="1:22">
      <c r="A388" s="218" t="s">
        <v>0</v>
      </c>
      <c r="B388" s="219">
        <v>46041</v>
      </c>
      <c r="C388" s="11" t="s">
        <v>41</v>
      </c>
      <c r="D388" s="240">
        <v>501563</v>
      </c>
      <c r="E388" s="10" t="s">
        <v>95</v>
      </c>
      <c r="F388" s="6" t="s">
        <v>408</v>
      </c>
      <c r="G388" s="225"/>
      <c r="H388" s="39">
        <v>1248</v>
      </c>
      <c r="I388" s="235">
        <v>46099</v>
      </c>
      <c r="J388" s="221" t="s">
        <v>90</v>
      </c>
      <c r="K388" s="218" t="s">
        <v>78</v>
      </c>
      <c r="L388" s="219"/>
      <c r="M388" s="218" t="str">
        <f ca="1">IF(Tabela4[[#This Row],[RECOMPRADO]]="RECEBIDO","LIQUIDADO",IF(O388="LIQUIDADO","LIQUIDADO",IF(I388&lt;$I$5,"VENCIDO","A VENCER")))</f>
        <v>A VENCER</v>
      </c>
      <c r="N388" s="222">
        <f ca="1">IF(Tabela4[[#This Row],[STATUS]]="LIQUIDADO","",Tabela4[[#This Row],[VCTO]]-$I$5)</f>
        <v>1</v>
      </c>
      <c r="O388" s="223"/>
      <c r="P388" s="219"/>
      <c r="Q388" s="218"/>
      <c r="R388" s="218"/>
      <c r="S388" s="218"/>
      <c r="T388" s="5"/>
      <c r="U388" s="5"/>
      <c r="V388" s="5"/>
    </row>
    <row r="389" spans="1:22">
      <c r="A389" s="5" t="s">
        <v>0</v>
      </c>
      <c r="B389" s="6">
        <v>46042</v>
      </c>
      <c r="C389" s="11" t="s">
        <v>41</v>
      </c>
      <c r="D389" s="228">
        <v>296</v>
      </c>
      <c r="E389" s="10" t="s">
        <v>92</v>
      </c>
      <c r="F389" s="5" t="s">
        <v>32</v>
      </c>
      <c r="G389" s="225" t="s">
        <v>66</v>
      </c>
      <c r="H389" s="39">
        <v>16605.11</v>
      </c>
      <c r="I389" s="217">
        <v>46093</v>
      </c>
      <c r="J389" s="7" t="s">
        <v>91</v>
      </c>
      <c r="K389" s="5" t="s">
        <v>72</v>
      </c>
      <c r="L389" s="6">
        <v>46044</v>
      </c>
      <c r="M389" s="5" t="str">
        <f>IF(Tabela4[[#This Row],[RECOMPRADO]]="RECEBIDO","LIQUIDADO",IF(O389="LIQUIDADO","LIQUIDADO",IF(I389&lt;$I$5,"VENCIDO","A VENCER")))</f>
        <v>LIQUIDADO</v>
      </c>
      <c r="N389" s="211" t="str">
        <f>IF(Tabela4[[#This Row],[STATUS]]="LIQUIDADO","",Tabela4[[#This Row],[VCTO]]-$I$5)</f>
        <v/>
      </c>
      <c r="O389" s="6" t="s">
        <v>86</v>
      </c>
      <c r="P389" s="6"/>
      <c r="Q389" s="5"/>
      <c r="R389" s="5"/>
      <c r="S389" s="5"/>
      <c r="T389" s="26" t="s">
        <v>388</v>
      </c>
      <c r="U389" s="26"/>
      <c r="V389" s="5" t="s">
        <v>635</v>
      </c>
    </row>
    <row r="390" spans="1:22">
      <c r="A390" s="5" t="s">
        <v>0</v>
      </c>
      <c r="B390" s="6">
        <v>46042</v>
      </c>
      <c r="C390" s="11" t="s">
        <v>41</v>
      </c>
      <c r="D390" s="228">
        <v>297</v>
      </c>
      <c r="E390" s="10" t="s">
        <v>92</v>
      </c>
      <c r="F390" s="5" t="s">
        <v>33</v>
      </c>
      <c r="G390" s="225" t="s">
        <v>46</v>
      </c>
      <c r="H390" s="39">
        <v>660</v>
      </c>
      <c r="I390" s="217">
        <v>46073</v>
      </c>
      <c r="J390" s="7" t="s">
        <v>91</v>
      </c>
      <c r="K390" s="5" t="s">
        <v>81</v>
      </c>
      <c r="L390" s="6">
        <v>46042</v>
      </c>
      <c r="M390" s="5" t="str">
        <f>IF(Tabela4[[#This Row],[RECOMPRADO]]="RECEBIDO","LIQUIDADO",IF(O390="LIQUIDADO","LIQUIDADO",IF(I390&lt;$I$5,"VENCIDO","A VENCER")))</f>
        <v>LIQUIDADO</v>
      </c>
      <c r="N390" s="211" t="str">
        <f>IF(Tabela4[[#This Row],[STATUS]]="LIQUIDADO","",Tabela4[[#This Row],[VCTO]]-$I$5)</f>
        <v/>
      </c>
      <c r="O390" s="219" t="s">
        <v>86</v>
      </c>
      <c r="P390" s="6"/>
      <c r="Q390" s="5"/>
      <c r="R390" s="5"/>
      <c r="S390" s="5"/>
      <c r="T390" s="5" t="s">
        <v>517</v>
      </c>
      <c r="U390" s="5"/>
      <c r="V390" s="5"/>
    </row>
    <row r="391" spans="1:22">
      <c r="A391" s="5" t="s">
        <v>0</v>
      </c>
      <c r="B391" s="6">
        <f>B390</f>
        <v>46042</v>
      </c>
      <c r="C391" s="11" t="s">
        <v>41</v>
      </c>
      <c r="D391" s="228">
        <v>297</v>
      </c>
      <c r="E391" s="10" t="s">
        <v>95</v>
      </c>
      <c r="F391" s="5" t="s">
        <v>33</v>
      </c>
      <c r="G391" s="225" t="s">
        <v>46</v>
      </c>
      <c r="H391" s="39">
        <v>660</v>
      </c>
      <c r="I391" s="217">
        <v>46080</v>
      </c>
      <c r="J391" s="7" t="s">
        <v>91</v>
      </c>
      <c r="K391" s="5" t="s">
        <v>81</v>
      </c>
      <c r="L391" s="6">
        <v>46042</v>
      </c>
      <c r="M391" s="5" t="str">
        <f>IF(Tabela4[[#This Row],[RECOMPRADO]]="RECEBIDO","LIQUIDADO",IF(O391="LIQUIDADO","LIQUIDADO",IF(I391&lt;$I$5,"VENCIDO","A VENCER")))</f>
        <v>LIQUIDADO</v>
      </c>
      <c r="N391" s="211" t="str">
        <f>IF(Tabela4[[#This Row],[STATUS]]="LIQUIDADO","",Tabela4[[#This Row],[VCTO]]-$I$5)</f>
        <v/>
      </c>
      <c r="O391" s="224" t="s">
        <v>86</v>
      </c>
      <c r="P391" s="6"/>
      <c r="Q391" s="5"/>
      <c r="R391" s="5"/>
      <c r="S391" s="5"/>
      <c r="T391" s="5" t="s">
        <v>557</v>
      </c>
      <c r="U391" s="5"/>
      <c r="V391" s="5"/>
    </row>
    <row r="392" spans="1:22">
      <c r="A392" s="26" t="s">
        <v>0</v>
      </c>
      <c r="B392" s="11">
        <f>B391</f>
        <v>46042</v>
      </c>
      <c r="C392" s="11" t="s">
        <v>41</v>
      </c>
      <c r="D392" s="228">
        <v>297</v>
      </c>
      <c r="E392" s="10" t="s">
        <v>96</v>
      </c>
      <c r="F392" s="5" t="s">
        <v>33</v>
      </c>
      <c r="G392" s="225" t="s">
        <v>46</v>
      </c>
      <c r="H392" s="39">
        <v>660</v>
      </c>
      <c r="I392" s="217">
        <v>46087</v>
      </c>
      <c r="J392" s="7" t="s">
        <v>91</v>
      </c>
      <c r="K392" s="5" t="s">
        <v>81</v>
      </c>
      <c r="L392" s="6">
        <v>46042</v>
      </c>
      <c r="M392" s="26" t="str">
        <f>IF(Tabela4[[#This Row],[RECOMPRADO]]="RECEBIDO","LIQUIDADO",IF(O392="LIQUIDADO","LIQUIDADO",IF(I392&lt;$I$5,"VENCIDO","A VENCER")))</f>
        <v>LIQUIDADO</v>
      </c>
      <c r="N392" s="212" t="str">
        <f>IF(Tabela4[[#This Row],[STATUS]]="LIQUIDADO","",Tabela4[[#This Row],[VCTO]]-$I$5)</f>
        <v/>
      </c>
      <c r="O392" s="224" t="s">
        <v>86</v>
      </c>
      <c r="P392" s="11"/>
      <c r="Q392" s="26"/>
      <c r="R392" s="26"/>
      <c r="S392" s="26"/>
      <c r="T392" s="26" t="s">
        <v>603</v>
      </c>
      <c r="U392" s="26"/>
      <c r="V392" s="5"/>
    </row>
    <row r="393" spans="1:22">
      <c r="A393" s="26" t="s">
        <v>0</v>
      </c>
      <c r="B393" s="11">
        <f>B392</f>
        <v>46042</v>
      </c>
      <c r="C393" s="11" t="s">
        <v>41</v>
      </c>
      <c r="D393" s="228">
        <v>297</v>
      </c>
      <c r="E393" s="10" t="s">
        <v>97</v>
      </c>
      <c r="F393" s="5" t="s">
        <v>33</v>
      </c>
      <c r="G393" s="225" t="s">
        <v>46</v>
      </c>
      <c r="H393" s="39">
        <v>660</v>
      </c>
      <c r="I393" s="217">
        <v>46094</v>
      </c>
      <c r="J393" s="7" t="s">
        <v>91</v>
      </c>
      <c r="K393" s="5" t="s">
        <v>81</v>
      </c>
      <c r="L393" s="6">
        <v>46042</v>
      </c>
      <c r="M393" s="26" t="str">
        <f ca="1">IF(Tabela4[[#This Row],[RECOMPRADO]]="RECEBIDO","LIQUIDADO",IF(O393="LIQUIDADO","LIQUIDADO",IF(I393&lt;$I$5,"VENCIDO","A VENCER")))</f>
        <v>VENCIDO</v>
      </c>
      <c r="N393" s="212">
        <f ca="1">IF(Tabela4[[#This Row],[STATUS]]="LIQUIDADO","",Tabela4[[#This Row],[VCTO]]-$I$5)</f>
        <v>-4</v>
      </c>
      <c r="O393" s="11"/>
      <c r="P393" s="11"/>
      <c r="Q393" s="26"/>
      <c r="R393" s="26"/>
      <c r="S393" s="26"/>
      <c r="T393" s="5" t="s">
        <v>638</v>
      </c>
      <c r="U393" s="5"/>
      <c r="V393" s="5"/>
    </row>
    <row r="394" spans="1:22">
      <c r="A394" s="26" t="s">
        <v>0</v>
      </c>
      <c r="B394" s="11">
        <f>B393</f>
        <v>46042</v>
      </c>
      <c r="C394" s="11" t="s">
        <v>41</v>
      </c>
      <c r="D394" s="228">
        <v>297</v>
      </c>
      <c r="E394" s="10" t="s">
        <v>98</v>
      </c>
      <c r="F394" s="5" t="s">
        <v>33</v>
      </c>
      <c r="G394" s="225" t="s">
        <v>46</v>
      </c>
      <c r="H394" s="39">
        <v>660</v>
      </c>
      <c r="I394" s="217">
        <v>46101</v>
      </c>
      <c r="J394" s="7" t="s">
        <v>91</v>
      </c>
      <c r="K394" s="5" t="s">
        <v>81</v>
      </c>
      <c r="L394" s="6">
        <v>46042</v>
      </c>
      <c r="M394" s="26" t="str">
        <f ca="1">IF(Tabela4[[#This Row],[RECOMPRADO]]="RECEBIDO","LIQUIDADO",IF(O394="LIQUIDADO","LIQUIDADO",IF(I394&lt;$I$5,"VENCIDO","A VENCER")))</f>
        <v>A VENCER</v>
      </c>
      <c r="N394" s="212">
        <f ca="1">IF(Tabela4[[#This Row],[STATUS]]="LIQUIDADO","",Tabela4[[#This Row],[VCTO]]-$I$5)</f>
        <v>3</v>
      </c>
      <c r="O394" s="11"/>
      <c r="P394" s="11"/>
      <c r="Q394" s="26"/>
      <c r="R394" s="26"/>
      <c r="S394" s="26"/>
      <c r="T394" s="26"/>
      <c r="U394" s="26"/>
      <c r="V394" s="5"/>
    </row>
    <row r="395" spans="1:22">
      <c r="A395" s="5" t="s">
        <v>0</v>
      </c>
      <c r="B395" s="6">
        <v>46042</v>
      </c>
      <c r="C395" s="11" t="s">
        <v>43</v>
      </c>
      <c r="D395" s="228">
        <v>297</v>
      </c>
      <c r="E395" s="10" t="s">
        <v>92</v>
      </c>
      <c r="F395" s="5" t="s">
        <v>33</v>
      </c>
      <c r="G395" s="225" t="s">
        <v>46</v>
      </c>
      <c r="H395" s="39">
        <v>660</v>
      </c>
      <c r="I395" s="217">
        <v>46073</v>
      </c>
      <c r="J395" s="7" t="s">
        <v>90</v>
      </c>
      <c r="K395" s="5" t="s">
        <v>0</v>
      </c>
      <c r="L395" s="6"/>
      <c r="M395" s="5" t="str">
        <f>IF(Tabela4[[#This Row],[RECOMPRADO]]="RECEBIDO","LIQUIDADO",IF(O395="LIQUIDADO","LIQUIDADO",IF(I395&lt;$I$5,"VENCIDO","A VENCER")))</f>
        <v>LIQUIDADO</v>
      </c>
      <c r="N395" s="211" t="str">
        <f>IF(Tabela4[[#This Row],[STATUS]]="LIQUIDADO","",Tabela4[[#This Row],[VCTO]]-$I$5)</f>
        <v/>
      </c>
      <c r="O395" s="6" t="s">
        <v>86</v>
      </c>
      <c r="P395" s="6"/>
      <c r="Q395" s="5"/>
      <c r="R395" s="5"/>
      <c r="S395" s="5"/>
      <c r="T395" s="5" t="s">
        <v>519</v>
      </c>
      <c r="U395" s="5"/>
      <c r="V395" s="5"/>
    </row>
    <row r="396" spans="1:22">
      <c r="A396" s="26" t="s">
        <v>0</v>
      </c>
      <c r="B396" s="11">
        <f>B395</f>
        <v>46042</v>
      </c>
      <c r="C396" s="11" t="s">
        <v>43</v>
      </c>
      <c r="D396" s="228">
        <v>297</v>
      </c>
      <c r="E396" s="10" t="s">
        <v>95</v>
      </c>
      <c r="F396" s="5" t="s">
        <v>33</v>
      </c>
      <c r="G396" s="225" t="s">
        <v>46</v>
      </c>
      <c r="H396" s="39">
        <v>660</v>
      </c>
      <c r="I396" s="217">
        <v>46080</v>
      </c>
      <c r="J396" s="7" t="s">
        <v>90</v>
      </c>
      <c r="K396" s="5" t="s">
        <v>0</v>
      </c>
      <c r="L396" s="6" t="s">
        <v>485</v>
      </c>
      <c r="M396" s="26" t="str">
        <f>IF(Tabela4[[#This Row],[RECOMPRADO]]="RECEBIDO","LIQUIDADO",IF(O396="LIQUIDADO","LIQUIDADO",IF(I396&lt;$I$5,"VENCIDO","A VENCER")))</f>
        <v>LIQUIDADO</v>
      </c>
      <c r="N396" s="212" t="str">
        <f>IF(Tabela4[[#This Row],[STATUS]]="LIQUIDADO","",Tabela4[[#This Row],[VCTO]]-$I$5)</f>
        <v/>
      </c>
      <c r="O396" s="219" t="s">
        <v>86</v>
      </c>
      <c r="P396" s="11"/>
      <c r="Q396" s="26"/>
      <c r="R396" s="26"/>
      <c r="S396" s="26"/>
      <c r="T396" s="26" t="s">
        <v>558</v>
      </c>
      <c r="U396" s="26"/>
      <c r="V396" s="5"/>
    </row>
    <row r="397" spans="1:22">
      <c r="A397" s="26" t="s">
        <v>0</v>
      </c>
      <c r="B397" s="11">
        <f>B396</f>
        <v>46042</v>
      </c>
      <c r="C397" s="11" t="s">
        <v>43</v>
      </c>
      <c r="D397" s="228">
        <v>297</v>
      </c>
      <c r="E397" s="10" t="s">
        <v>96</v>
      </c>
      <c r="F397" s="5" t="s">
        <v>33</v>
      </c>
      <c r="G397" s="225" t="s">
        <v>46</v>
      </c>
      <c r="H397" s="39">
        <v>660</v>
      </c>
      <c r="I397" s="217">
        <v>46087</v>
      </c>
      <c r="J397" s="7" t="s">
        <v>90</v>
      </c>
      <c r="K397" s="5" t="s">
        <v>0</v>
      </c>
      <c r="L397" s="6" t="s">
        <v>485</v>
      </c>
      <c r="M397" s="26" t="str">
        <f>IF(Tabela4[[#This Row],[RECOMPRADO]]="RECEBIDO","LIQUIDADO",IF(O397="LIQUIDADO","LIQUIDADO",IF(I397&lt;$I$5,"VENCIDO","A VENCER")))</f>
        <v>LIQUIDADO</v>
      </c>
      <c r="N397" s="212" t="str">
        <f>IF(Tabela4[[#This Row],[STATUS]]="LIQUIDADO","",Tabela4[[#This Row],[VCTO]]-$I$5)</f>
        <v/>
      </c>
      <c r="O397" s="224" t="s">
        <v>86</v>
      </c>
      <c r="P397" s="11"/>
      <c r="Q397" s="26"/>
      <c r="R397" s="26"/>
      <c r="S397" s="26"/>
      <c r="T397" s="26" t="s">
        <v>266</v>
      </c>
      <c r="U397" s="26"/>
      <c r="V397" s="5"/>
    </row>
    <row r="398" spans="1:22">
      <c r="A398" s="5" t="s">
        <v>0</v>
      </c>
      <c r="B398" s="6">
        <f>B397</f>
        <v>46042</v>
      </c>
      <c r="C398" s="11" t="s">
        <v>43</v>
      </c>
      <c r="D398" s="228">
        <v>297</v>
      </c>
      <c r="E398" s="10" t="s">
        <v>97</v>
      </c>
      <c r="F398" s="5" t="s">
        <v>33</v>
      </c>
      <c r="G398" s="225" t="s">
        <v>46</v>
      </c>
      <c r="H398" s="39">
        <v>660</v>
      </c>
      <c r="I398" s="217">
        <v>46094</v>
      </c>
      <c r="J398" s="7" t="s">
        <v>90</v>
      </c>
      <c r="K398" s="5" t="s">
        <v>0</v>
      </c>
      <c r="L398" s="6" t="s">
        <v>485</v>
      </c>
      <c r="M398" s="5" t="str">
        <f ca="1">IF(Tabela4[[#This Row],[RECOMPRADO]]="RECEBIDO","LIQUIDADO",IF(O398="LIQUIDADO","LIQUIDADO",IF(I398&lt;$I$5,"VENCIDO","A VENCER")))</f>
        <v>VENCIDO</v>
      </c>
      <c r="N398" s="211">
        <f ca="1">IF(Tabela4[[#This Row],[STATUS]]="LIQUIDADO","",Tabela4[[#This Row],[VCTO]]-$I$5)</f>
        <v>-4</v>
      </c>
      <c r="O398" s="224"/>
      <c r="P398" s="6"/>
      <c r="Q398" s="5"/>
      <c r="R398" s="5"/>
      <c r="S398" s="5"/>
      <c r="T398" s="5" t="s">
        <v>638</v>
      </c>
      <c r="U398" s="5"/>
      <c r="V398" s="5"/>
    </row>
    <row r="399" spans="1:22">
      <c r="A399" s="26" t="s">
        <v>0</v>
      </c>
      <c r="B399" s="11">
        <f>B398</f>
        <v>46042</v>
      </c>
      <c r="C399" s="11" t="s">
        <v>43</v>
      </c>
      <c r="D399" s="228">
        <v>297</v>
      </c>
      <c r="E399" s="10" t="s">
        <v>98</v>
      </c>
      <c r="F399" s="5" t="s">
        <v>33</v>
      </c>
      <c r="G399" s="225" t="s">
        <v>46</v>
      </c>
      <c r="H399" s="39">
        <v>660</v>
      </c>
      <c r="I399" s="217">
        <v>46101</v>
      </c>
      <c r="J399" s="7" t="s">
        <v>90</v>
      </c>
      <c r="K399" s="5" t="s">
        <v>0</v>
      </c>
      <c r="L399" s="6" t="s">
        <v>485</v>
      </c>
      <c r="M399" s="26" t="str">
        <f ca="1">IF(Tabela4[[#This Row],[RECOMPRADO]]="RECEBIDO","LIQUIDADO",IF(O399="LIQUIDADO","LIQUIDADO",IF(I399&lt;$I$5,"VENCIDO","A VENCER")))</f>
        <v>A VENCER</v>
      </c>
      <c r="N399" s="212">
        <f ca="1">IF(Tabela4[[#This Row],[STATUS]]="LIQUIDADO","",Tabela4[[#This Row],[VCTO]]-$I$5)</f>
        <v>3</v>
      </c>
      <c r="O399" s="11"/>
      <c r="P399" s="11"/>
      <c r="Q399" s="26"/>
      <c r="R399" s="26"/>
      <c r="S399" s="26"/>
      <c r="T399" s="26" t="s">
        <v>266</v>
      </c>
      <c r="U399" s="26"/>
      <c r="V399" s="5"/>
    </row>
    <row r="400" spans="1:22">
      <c r="A400" s="26" t="s">
        <v>0</v>
      </c>
      <c r="B400" s="11">
        <v>46042</v>
      </c>
      <c r="C400" s="11" t="s">
        <v>41</v>
      </c>
      <c r="D400" s="228">
        <v>298</v>
      </c>
      <c r="E400" s="10" t="s">
        <v>92</v>
      </c>
      <c r="F400" s="5" t="s">
        <v>34</v>
      </c>
      <c r="G400" s="225" t="s">
        <v>67</v>
      </c>
      <c r="H400" s="39">
        <v>2728</v>
      </c>
      <c r="I400" s="217">
        <v>46073</v>
      </c>
      <c r="J400" s="7" t="s">
        <v>91</v>
      </c>
      <c r="K400" s="5" t="s">
        <v>81</v>
      </c>
      <c r="L400" s="6">
        <v>46042</v>
      </c>
      <c r="M400" s="26" t="str">
        <f>IF(Tabela4[[#This Row],[RECOMPRADO]]="RECEBIDO","LIQUIDADO",IF(O400="LIQUIDADO","LIQUIDADO",IF(I400&lt;$I$5,"VENCIDO","A VENCER")))</f>
        <v>LIQUIDADO</v>
      </c>
      <c r="N400" s="212" t="str">
        <f>IF(Tabela4[[#This Row],[STATUS]]="LIQUIDADO","",Tabela4[[#This Row],[VCTO]]-$I$5)</f>
        <v/>
      </c>
      <c r="O400" s="11" t="s">
        <v>86</v>
      </c>
      <c r="P400" s="11"/>
      <c r="Q400" s="26"/>
      <c r="R400" s="26"/>
      <c r="S400" s="26"/>
      <c r="T400" s="26" t="s">
        <v>394</v>
      </c>
      <c r="U400" s="26"/>
      <c r="V400" s="5"/>
    </row>
    <row r="401" spans="1:22">
      <c r="A401" s="26" t="s">
        <v>0</v>
      </c>
      <c r="B401" s="11">
        <f>B400</f>
        <v>46042</v>
      </c>
      <c r="C401" s="11" t="s">
        <v>41</v>
      </c>
      <c r="D401" s="228">
        <v>298</v>
      </c>
      <c r="E401" s="10" t="s">
        <v>95</v>
      </c>
      <c r="F401" s="5" t="s">
        <v>34</v>
      </c>
      <c r="G401" s="225" t="s">
        <v>67</v>
      </c>
      <c r="H401" s="39">
        <v>2728</v>
      </c>
      <c r="I401" s="217">
        <v>46080</v>
      </c>
      <c r="J401" s="7" t="s">
        <v>91</v>
      </c>
      <c r="K401" s="5" t="s">
        <v>81</v>
      </c>
      <c r="L401" s="6">
        <v>46042</v>
      </c>
      <c r="M401" s="26" t="str">
        <f>IF(Tabela4[[#This Row],[RECOMPRADO]]="RECEBIDO","LIQUIDADO",IF(O401="LIQUIDADO","LIQUIDADO",IF(I401&lt;$I$5,"VENCIDO","A VENCER")))</f>
        <v>LIQUIDADO</v>
      </c>
      <c r="N401" s="212" t="str">
        <f>IF(Tabela4[[#This Row],[STATUS]]="LIQUIDADO","",Tabela4[[#This Row],[VCTO]]-$I$5)</f>
        <v/>
      </c>
      <c r="O401" s="6" t="s">
        <v>86</v>
      </c>
      <c r="P401" s="11"/>
      <c r="Q401" s="26"/>
      <c r="R401" s="26"/>
      <c r="S401" s="26"/>
      <c r="T401" s="26" t="s">
        <v>394</v>
      </c>
      <c r="U401" s="26"/>
      <c r="V401" s="5"/>
    </row>
    <row r="402" spans="1:22">
      <c r="A402" s="26" t="s">
        <v>0</v>
      </c>
      <c r="B402" s="11">
        <f>B401</f>
        <v>46042</v>
      </c>
      <c r="C402" s="11" t="s">
        <v>41</v>
      </c>
      <c r="D402" s="26">
        <v>298</v>
      </c>
      <c r="E402" s="10" t="s">
        <v>96</v>
      </c>
      <c r="F402" s="26" t="s">
        <v>34</v>
      </c>
      <c r="G402" s="225" t="s">
        <v>67</v>
      </c>
      <c r="H402" s="39">
        <v>2728</v>
      </c>
      <c r="I402" s="216">
        <v>46087</v>
      </c>
      <c r="J402" s="7" t="s">
        <v>91</v>
      </c>
      <c r="K402" s="5" t="s">
        <v>81</v>
      </c>
      <c r="L402" s="6">
        <v>46042</v>
      </c>
      <c r="M402" s="5" t="str">
        <f>IF(Tabela4[[#This Row],[RECOMPRADO]]="RECEBIDO","LIQUIDADO",IF(O402="LIQUIDADO","LIQUIDADO",IF(I402&lt;$I$5,"VENCIDO","A VENCER")))</f>
        <v>LIQUIDADO</v>
      </c>
      <c r="N402" s="211" t="str">
        <f>IF(Tabela4[[#This Row],[STATUS]]="LIQUIDADO","",Tabela4[[#This Row],[VCTO]]-$I$5)</f>
        <v/>
      </c>
      <c r="O402" s="219" t="s">
        <v>86</v>
      </c>
      <c r="P402" s="6"/>
      <c r="Q402" s="5"/>
      <c r="R402" s="5"/>
      <c r="S402" s="5"/>
      <c r="T402" s="5" t="s">
        <v>394</v>
      </c>
      <c r="U402" s="5"/>
      <c r="V402" s="5"/>
    </row>
    <row r="403" spans="1:22">
      <c r="A403" s="26" t="s">
        <v>0</v>
      </c>
      <c r="B403" s="11">
        <f>B402</f>
        <v>46042</v>
      </c>
      <c r="C403" s="11" t="s">
        <v>41</v>
      </c>
      <c r="D403" s="26">
        <v>298</v>
      </c>
      <c r="E403" s="10" t="s">
        <v>97</v>
      </c>
      <c r="F403" s="26" t="s">
        <v>34</v>
      </c>
      <c r="G403" s="225" t="s">
        <v>67</v>
      </c>
      <c r="H403" s="39">
        <v>2728</v>
      </c>
      <c r="I403" s="216">
        <v>46094</v>
      </c>
      <c r="J403" s="7" t="s">
        <v>91</v>
      </c>
      <c r="K403" s="5" t="s">
        <v>81</v>
      </c>
      <c r="L403" s="11">
        <v>46042</v>
      </c>
      <c r="M403" s="26" t="str">
        <f>IF(Tabela4[[#This Row],[RECOMPRADO]]="RECEBIDO","LIQUIDADO",IF(O403="LIQUIDADO","LIQUIDADO",IF(I403&lt;$I$5,"VENCIDO","A VENCER")))</f>
        <v>LIQUIDADO</v>
      </c>
      <c r="N403" s="212" t="str">
        <f>IF(Tabela4[[#This Row],[STATUS]]="LIQUIDADO","",Tabela4[[#This Row],[VCTO]]-$I$5)</f>
        <v/>
      </c>
      <c r="O403" s="224" t="s">
        <v>86</v>
      </c>
      <c r="P403" s="11"/>
      <c r="Q403" s="26"/>
      <c r="R403" s="26"/>
      <c r="S403" s="26"/>
      <c r="T403" s="26" t="s">
        <v>394</v>
      </c>
      <c r="U403" s="26"/>
      <c r="V403" s="5"/>
    </row>
    <row r="404" spans="1:22">
      <c r="A404" s="26" t="s">
        <v>0</v>
      </c>
      <c r="B404" s="11">
        <f>B403</f>
        <v>46042</v>
      </c>
      <c r="C404" s="11" t="s">
        <v>41</v>
      </c>
      <c r="D404" s="26">
        <v>298</v>
      </c>
      <c r="E404" s="10" t="s">
        <v>98</v>
      </c>
      <c r="F404" s="26" t="s">
        <v>34</v>
      </c>
      <c r="G404" s="225" t="s">
        <v>67</v>
      </c>
      <c r="H404" s="39">
        <v>2728</v>
      </c>
      <c r="I404" s="216">
        <v>46101</v>
      </c>
      <c r="J404" s="7" t="s">
        <v>91</v>
      </c>
      <c r="K404" s="5" t="s">
        <v>81</v>
      </c>
      <c r="L404" s="11">
        <v>46042</v>
      </c>
      <c r="M404" s="26" t="str">
        <f ca="1">IF(Tabela4[[#This Row],[RECOMPRADO]]="RECEBIDO","LIQUIDADO",IF(O404="LIQUIDADO","LIQUIDADO",IF(I404&lt;$I$5,"VENCIDO","A VENCER")))</f>
        <v>A VENCER</v>
      </c>
      <c r="N404" s="212">
        <f ca="1">IF(Tabela4[[#This Row],[STATUS]]="LIQUIDADO","",Tabela4[[#This Row],[VCTO]]-$I$5)</f>
        <v>3</v>
      </c>
      <c r="O404" s="224"/>
      <c r="P404" s="11"/>
      <c r="Q404" s="26"/>
      <c r="R404" s="26"/>
      <c r="S404" s="26"/>
      <c r="T404" s="26" t="s">
        <v>394</v>
      </c>
      <c r="U404" s="26"/>
      <c r="V404" s="5"/>
    </row>
    <row r="405" spans="1:22">
      <c r="A405" s="26" t="s">
        <v>0</v>
      </c>
      <c r="B405" s="11">
        <v>46042</v>
      </c>
      <c r="C405" s="11" t="s">
        <v>41</v>
      </c>
      <c r="D405" s="26">
        <v>300</v>
      </c>
      <c r="E405" s="10" t="s">
        <v>92</v>
      </c>
      <c r="F405" s="26" t="s">
        <v>35</v>
      </c>
      <c r="G405" s="225" t="s">
        <v>68</v>
      </c>
      <c r="H405" s="39">
        <v>4820</v>
      </c>
      <c r="I405" s="216">
        <v>46077</v>
      </c>
      <c r="J405" s="7" t="s">
        <v>91</v>
      </c>
      <c r="K405" s="5" t="s">
        <v>81</v>
      </c>
      <c r="L405" s="11">
        <v>46042</v>
      </c>
      <c r="M405" s="26" t="str">
        <f>IF(Tabela4[[#This Row],[RECOMPRADO]]="RECEBIDO","LIQUIDADO",IF(O405="LIQUIDADO","LIQUIDADO",IF(I405&lt;$I$5,"VENCIDO","A VENCER")))</f>
        <v>LIQUIDADO</v>
      </c>
      <c r="N405" s="212" t="str">
        <f>IF(Tabela4[[#This Row],[STATUS]]="LIQUIDADO","",Tabela4[[#This Row],[VCTO]]-$I$5)</f>
        <v/>
      </c>
      <c r="O405" s="11" t="s">
        <v>86</v>
      </c>
      <c r="P405" s="11"/>
      <c r="Q405" s="26"/>
      <c r="R405" s="26"/>
      <c r="S405" s="26"/>
      <c r="T405" s="26"/>
      <c r="U405" s="26"/>
      <c r="V405" s="5"/>
    </row>
    <row r="406" spans="1:22">
      <c r="A406" s="26" t="s">
        <v>0</v>
      </c>
      <c r="B406" s="11">
        <f>B405</f>
        <v>46042</v>
      </c>
      <c r="C406" s="11" t="s">
        <v>41</v>
      </c>
      <c r="D406" s="26">
        <v>300</v>
      </c>
      <c r="E406" s="10" t="s">
        <v>95</v>
      </c>
      <c r="F406" s="26" t="s">
        <v>35</v>
      </c>
      <c r="G406" s="225" t="s">
        <v>68</v>
      </c>
      <c r="H406" s="39">
        <v>4820</v>
      </c>
      <c r="I406" s="216">
        <v>46084</v>
      </c>
      <c r="J406" s="7" t="s">
        <v>91</v>
      </c>
      <c r="K406" s="5" t="s">
        <v>81</v>
      </c>
      <c r="L406" s="11">
        <v>46042</v>
      </c>
      <c r="M406" s="5" t="str">
        <f>IF(Tabela4[[#This Row],[RECOMPRADO]]="RECEBIDO","LIQUIDADO",IF(O406="LIQUIDADO","LIQUIDADO",IF(I406&lt;$I$5,"VENCIDO","A VENCER")))</f>
        <v>LIQUIDADO</v>
      </c>
      <c r="N406" s="211" t="str">
        <f>IF(Tabela4[[#This Row],[STATUS]]="LIQUIDADO","",Tabela4[[#This Row],[VCTO]]-$I$5)</f>
        <v/>
      </c>
      <c r="O406" s="11" t="s">
        <v>86</v>
      </c>
      <c r="P406" s="6"/>
      <c r="Q406" s="5"/>
      <c r="R406" s="5"/>
      <c r="S406" s="5"/>
      <c r="T406" s="26"/>
      <c r="U406" s="26"/>
      <c r="V406" s="5"/>
    </row>
    <row r="407" spans="1:22">
      <c r="A407" s="26" t="s">
        <v>0</v>
      </c>
      <c r="B407" s="11">
        <f>B406</f>
        <v>46042</v>
      </c>
      <c r="C407" s="11" t="s">
        <v>41</v>
      </c>
      <c r="D407" s="26">
        <v>300</v>
      </c>
      <c r="E407" s="10" t="s">
        <v>96</v>
      </c>
      <c r="F407" s="26" t="s">
        <v>35</v>
      </c>
      <c r="G407" s="225" t="s">
        <v>68</v>
      </c>
      <c r="H407" s="39">
        <v>4820</v>
      </c>
      <c r="I407" s="216">
        <v>46091</v>
      </c>
      <c r="J407" s="7" t="s">
        <v>91</v>
      </c>
      <c r="K407" s="5" t="s">
        <v>81</v>
      </c>
      <c r="L407" s="11">
        <v>46042</v>
      </c>
      <c r="M407" s="26" t="str">
        <f>IF(Tabela4[[#This Row],[RECOMPRADO]]="RECEBIDO","LIQUIDADO",IF(O407="LIQUIDADO","LIQUIDADO",IF(I407&lt;$I$5,"VENCIDO","A VENCER")))</f>
        <v>LIQUIDADO</v>
      </c>
      <c r="N407" s="212" t="str">
        <f>IF(Tabela4[[#This Row],[STATUS]]="LIQUIDADO","",Tabela4[[#This Row],[VCTO]]-$I$5)</f>
        <v/>
      </c>
      <c r="O407" s="6" t="s">
        <v>86</v>
      </c>
      <c r="P407" s="11"/>
      <c r="Q407" s="26"/>
      <c r="R407" s="26"/>
      <c r="S407" s="26"/>
      <c r="T407" s="26"/>
      <c r="U407" s="26"/>
      <c r="V407" s="5"/>
    </row>
    <row r="408" spans="1:22">
      <c r="A408" s="26" t="s">
        <v>0</v>
      </c>
      <c r="B408" s="11">
        <f>B407</f>
        <v>46042</v>
      </c>
      <c r="C408" s="11" t="s">
        <v>41</v>
      </c>
      <c r="D408" s="26">
        <v>300</v>
      </c>
      <c r="E408" s="10" t="s">
        <v>97</v>
      </c>
      <c r="F408" s="26" t="s">
        <v>35</v>
      </c>
      <c r="G408" s="225" t="s">
        <v>68</v>
      </c>
      <c r="H408" s="39">
        <v>4820</v>
      </c>
      <c r="I408" s="216">
        <v>46098</v>
      </c>
      <c r="J408" s="7" t="s">
        <v>91</v>
      </c>
      <c r="K408" s="5" t="s">
        <v>81</v>
      </c>
      <c r="L408" s="11">
        <v>46042</v>
      </c>
      <c r="M408" s="26" t="str">
        <f ca="1">IF(Tabela4[[#This Row],[RECOMPRADO]]="RECEBIDO","LIQUIDADO",IF(O408="LIQUIDADO","LIQUIDADO",IF(I408&lt;$I$5,"VENCIDO","A VENCER")))</f>
        <v>A VENCER</v>
      </c>
      <c r="N408" s="212">
        <f ca="1">IF(Tabela4[[#This Row],[STATUS]]="LIQUIDADO","",Tabela4[[#This Row],[VCTO]]-$I$5)</f>
        <v>0</v>
      </c>
      <c r="O408" s="219"/>
      <c r="P408" s="11"/>
      <c r="Q408" s="26"/>
      <c r="R408" s="26"/>
      <c r="S408" s="26"/>
      <c r="T408" s="26"/>
      <c r="U408" s="26"/>
      <c r="V408" s="5"/>
    </row>
    <row r="409" spans="1:22">
      <c r="A409" s="26" t="s">
        <v>0</v>
      </c>
      <c r="B409" s="11">
        <f>B408</f>
        <v>46042</v>
      </c>
      <c r="C409" s="11" t="s">
        <v>41</v>
      </c>
      <c r="D409" s="26">
        <v>300</v>
      </c>
      <c r="E409" s="10" t="s">
        <v>98</v>
      </c>
      <c r="F409" s="26" t="s">
        <v>35</v>
      </c>
      <c r="G409" s="225" t="s">
        <v>68</v>
      </c>
      <c r="H409" s="39">
        <v>4820</v>
      </c>
      <c r="I409" s="216">
        <v>46105</v>
      </c>
      <c r="J409" s="7" t="s">
        <v>91</v>
      </c>
      <c r="K409" s="5" t="s">
        <v>81</v>
      </c>
      <c r="L409" s="11">
        <v>46042</v>
      </c>
      <c r="M409" s="26" t="str">
        <f ca="1">IF(Tabela4[[#This Row],[RECOMPRADO]]="RECEBIDO","LIQUIDADO",IF(O409="LIQUIDADO","LIQUIDADO",IF(I409&lt;$I$5,"VENCIDO","A VENCER")))</f>
        <v>A VENCER</v>
      </c>
      <c r="N409" s="212">
        <f ca="1">IF(Tabela4[[#This Row],[STATUS]]="LIQUIDADO","",Tabela4[[#This Row],[VCTO]]-$I$5)</f>
        <v>7</v>
      </c>
      <c r="O409" s="224"/>
      <c r="P409" s="11"/>
      <c r="Q409" s="26"/>
      <c r="R409" s="26"/>
      <c r="S409" s="26"/>
      <c r="T409" s="26"/>
      <c r="U409" s="26"/>
      <c r="V409" s="5"/>
    </row>
    <row r="410" spans="1:22">
      <c r="A410" s="26" t="s">
        <v>0</v>
      </c>
      <c r="B410" s="11">
        <v>46043</v>
      </c>
      <c r="C410" s="11" t="s">
        <v>41</v>
      </c>
      <c r="D410" s="26">
        <v>304</v>
      </c>
      <c r="E410" s="10" t="s">
        <v>92</v>
      </c>
      <c r="F410" s="26" t="s">
        <v>100</v>
      </c>
      <c r="G410" s="225" t="s">
        <v>101</v>
      </c>
      <c r="H410" s="39">
        <v>1731.33</v>
      </c>
      <c r="I410" s="216">
        <v>46076</v>
      </c>
      <c r="J410" s="7" t="s">
        <v>91</v>
      </c>
      <c r="K410" s="5" t="s">
        <v>81</v>
      </c>
      <c r="L410" s="11">
        <v>46044</v>
      </c>
      <c r="M410" s="26" t="str">
        <f>IF(Tabela4[[#This Row],[RECOMPRADO]]="RECEBIDO","LIQUIDADO",IF(O410="LIQUIDADO","LIQUIDADO",IF(I410&lt;$I$5,"VENCIDO","A VENCER")))</f>
        <v>LIQUIDADO</v>
      </c>
      <c r="N410" s="212" t="str">
        <f>IF(Tabela4[[#This Row],[STATUS]]="LIQUIDADO","",Tabela4[[#This Row],[VCTO]]-$I$5)</f>
        <v/>
      </c>
      <c r="O410" s="224" t="s">
        <v>86</v>
      </c>
      <c r="P410" s="11"/>
      <c r="Q410" s="26"/>
      <c r="R410" s="26"/>
      <c r="S410" s="26"/>
      <c r="T410" s="26" t="s">
        <v>393</v>
      </c>
      <c r="U410" s="26"/>
      <c r="V410" s="5"/>
    </row>
    <row r="411" spans="1:22">
      <c r="A411" s="26" t="s">
        <v>0</v>
      </c>
      <c r="B411" s="11">
        <f>B410</f>
        <v>46043</v>
      </c>
      <c r="C411" s="11" t="s">
        <v>41</v>
      </c>
      <c r="D411" s="26">
        <v>304</v>
      </c>
      <c r="E411" s="10" t="s">
        <v>95</v>
      </c>
      <c r="F411" s="26" t="s">
        <v>100</v>
      </c>
      <c r="G411" s="225" t="s">
        <v>101</v>
      </c>
      <c r="H411" s="39">
        <v>1731.33</v>
      </c>
      <c r="I411" s="216">
        <v>46083</v>
      </c>
      <c r="J411" s="7" t="s">
        <v>91</v>
      </c>
      <c r="K411" s="5" t="s">
        <v>81</v>
      </c>
      <c r="L411" s="6">
        <v>46044</v>
      </c>
      <c r="M411" s="5" t="str">
        <f>IF(Tabela4[[#This Row],[RECOMPRADO]]="RECEBIDO","LIQUIDADO",IF(O411="LIQUIDADO","LIQUIDADO",IF(I411&lt;$I$5,"VENCIDO","A VENCER")))</f>
        <v>LIQUIDADO</v>
      </c>
      <c r="N411" s="211" t="str">
        <f>IF(Tabela4[[#This Row],[STATUS]]="LIQUIDADO","",Tabela4[[#This Row],[VCTO]]-$I$5)</f>
        <v/>
      </c>
      <c r="O411" s="11" t="s">
        <v>86</v>
      </c>
      <c r="P411" s="6"/>
      <c r="Q411" s="5"/>
      <c r="R411" s="5"/>
      <c r="S411" s="5"/>
      <c r="T411" s="5" t="s">
        <v>393</v>
      </c>
      <c r="U411" s="5"/>
      <c r="V411" s="5"/>
    </row>
    <row r="412" spans="1:22">
      <c r="A412" s="26" t="s">
        <v>0</v>
      </c>
      <c r="B412" s="11">
        <f>B411</f>
        <v>46043</v>
      </c>
      <c r="C412" s="11" t="s">
        <v>41</v>
      </c>
      <c r="D412" s="26">
        <v>304</v>
      </c>
      <c r="E412" s="10" t="s">
        <v>96</v>
      </c>
      <c r="F412" s="26" t="s">
        <v>100</v>
      </c>
      <c r="G412" s="225" t="s">
        <v>101</v>
      </c>
      <c r="H412" s="39">
        <v>1731.34</v>
      </c>
      <c r="I412" s="216">
        <v>46090</v>
      </c>
      <c r="J412" s="7" t="s">
        <v>91</v>
      </c>
      <c r="K412" s="5" t="s">
        <v>81</v>
      </c>
      <c r="L412" s="6">
        <v>46044</v>
      </c>
      <c r="M412" s="5" t="str">
        <f>IF(Tabela4[[#This Row],[RECOMPRADO]]="RECEBIDO","LIQUIDADO",IF(O412="LIQUIDADO","LIQUIDADO",IF(I412&lt;$I$5,"VENCIDO","A VENCER")))</f>
        <v>LIQUIDADO</v>
      </c>
      <c r="N412" s="211" t="str">
        <f>IF(Tabela4[[#This Row],[STATUS]]="LIQUIDADO","",Tabela4[[#This Row],[VCTO]]-$I$5)</f>
        <v/>
      </c>
      <c r="O412" s="11" t="s">
        <v>86</v>
      </c>
      <c r="P412" s="6"/>
      <c r="Q412" s="5"/>
      <c r="R412" s="5"/>
      <c r="S412" s="5"/>
      <c r="T412" s="5" t="s">
        <v>393</v>
      </c>
      <c r="U412" s="5"/>
      <c r="V412" s="5"/>
    </row>
    <row r="413" spans="1:22">
      <c r="A413" s="26" t="s">
        <v>0</v>
      </c>
      <c r="B413" s="11">
        <v>46044</v>
      </c>
      <c r="C413" s="11" t="s">
        <v>41</v>
      </c>
      <c r="D413" s="26">
        <v>308</v>
      </c>
      <c r="E413" s="10" t="s">
        <v>92</v>
      </c>
      <c r="F413" s="26" t="s">
        <v>117</v>
      </c>
      <c r="G413" s="225" t="s">
        <v>126</v>
      </c>
      <c r="H413" s="39">
        <v>1748.82</v>
      </c>
      <c r="I413" s="216">
        <v>46044</v>
      </c>
      <c r="J413" s="7" t="s">
        <v>90</v>
      </c>
      <c r="K413" s="5" t="s">
        <v>0</v>
      </c>
      <c r="L413" s="6"/>
      <c r="M413" s="5" t="str">
        <f>IF(Tabela4[[#This Row],[RECOMPRADO]]="RECEBIDO","LIQUIDADO",IF(O413="LIQUIDADO","LIQUIDADO",IF(I413&lt;$I$5,"VENCIDO","A VENCER")))</f>
        <v>LIQUIDADO</v>
      </c>
      <c r="N413" s="211" t="str">
        <f>IF(Tabela4[[#This Row],[STATUS]]="LIQUIDADO","",Tabela4[[#This Row],[VCTO]]-$I$5)</f>
        <v/>
      </c>
      <c r="O413" s="6" t="s">
        <v>86</v>
      </c>
      <c r="P413" s="6"/>
      <c r="Q413" s="5"/>
      <c r="R413" s="5"/>
      <c r="S413" s="5"/>
      <c r="T413" s="5"/>
      <c r="U413" s="5"/>
      <c r="V413" s="5"/>
    </row>
    <row r="414" spans="1:22">
      <c r="A414" s="26" t="s">
        <v>0</v>
      </c>
      <c r="B414" s="11">
        <v>46044</v>
      </c>
      <c r="C414" s="11" t="s">
        <v>43</v>
      </c>
      <c r="D414" s="26">
        <v>308</v>
      </c>
      <c r="E414" s="10" t="s">
        <v>92</v>
      </c>
      <c r="F414" s="26" t="s">
        <v>117</v>
      </c>
      <c r="G414" s="225" t="s">
        <v>126</v>
      </c>
      <c r="H414" s="39">
        <v>13860</v>
      </c>
      <c r="I414" s="216">
        <v>46044</v>
      </c>
      <c r="J414" s="7" t="s">
        <v>125</v>
      </c>
      <c r="K414" s="5" t="s">
        <v>0</v>
      </c>
      <c r="L414" s="6"/>
      <c r="M414" s="5" t="str">
        <f>IF(Tabela4[[#This Row],[RECOMPRADO]]="RECEBIDO","LIQUIDADO",IF(O414="LIQUIDADO","LIQUIDADO",IF(I414&lt;$I$5,"VENCIDO","A VENCER")))</f>
        <v>LIQUIDADO</v>
      </c>
      <c r="N414" s="211" t="str">
        <f>IF(Tabela4[[#This Row],[STATUS]]="LIQUIDADO","",Tabela4[[#This Row],[VCTO]]-$I$5)</f>
        <v/>
      </c>
      <c r="O414" s="219" t="s">
        <v>86</v>
      </c>
      <c r="P414" s="6"/>
      <c r="Q414" s="5"/>
      <c r="R414" s="5"/>
      <c r="S414" s="5"/>
      <c r="T414" s="5"/>
      <c r="U414" s="5"/>
      <c r="V414" s="5"/>
    </row>
    <row r="415" spans="1:22">
      <c r="A415" s="26" t="s">
        <v>0</v>
      </c>
      <c r="B415" s="11">
        <v>46045</v>
      </c>
      <c r="C415" s="11" t="s">
        <v>41</v>
      </c>
      <c r="D415" s="245">
        <v>309</v>
      </c>
      <c r="E415" s="10" t="s">
        <v>92</v>
      </c>
      <c r="F415" s="26" t="s">
        <v>24</v>
      </c>
      <c r="G415" s="225" t="s">
        <v>59</v>
      </c>
      <c r="H415" s="39">
        <v>85050</v>
      </c>
      <c r="I415" s="216">
        <v>46080</v>
      </c>
      <c r="J415" s="7" t="s">
        <v>91</v>
      </c>
      <c r="K415" s="5" t="s">
        <v>75</v>
      </c>
      <c r="L415" s="6">
        <v>46045</v>
      </c>
      <c r="M415" s="5" t="str">
        <f>IF(Tabela4[[#This Row],[RECOMPRADO]]="RECEBIDO","LIQUIDADO",IF(O415="LIQUIDADO","LIQUIDADO",IF(I415&lt;$I$5,"VENCIDO","A VENCER")))</f>
        <v>LIQUIDADO</v>
      </c>
      <c r="N415" s="211" t="str">
        <f>IF(Tabela4[[#This Row],[STATUS]]="LIQUIDADO","",Tabela4[[#This Row],[VCTO]]-$I$5)</f>
        <v/>
      </c>
      <c r="O415" s="224" t="s">
        <v>86</v>
      </c>
      <c r="P415" s="6"/>
      <c r="Q415" s="5"/>
      <c r="R415" s="5"/>
      <c r="S415" s="5"/>
      <c r="T415" s="5" t="s">
        <v>388</v>
      </c>
      <c r="U415" s="5"/>
      <c r="V415" s="5" t="s">
        <v>635</v>
      </c>
    </row>
    <row r="416" spans="1:22">
      <c r="A416" s="26" t="s">
        <v>0</v>
      </c>
      <c r="B416" s="11">
        <v>46045</v>
      </c>
      <c r="C416" s="11" t="s">
        <v>41</v>
      </c>
      <c r="D416" s="245">
        <v>310</v>
      </c>
      <c r="E416" s="10" t="s">
        <v>92</v>
      </c>
      <c r="F416" s="26" t="s">
        <v>24</v>
      </c>
      <c r="G416" s="225" t="s">
        <v>59</v>
      </c>
      <c r="H416" s="39">
        <v>58125</v>
      </c>
      <c r="I416" s="216">
        <v>46080</v>
      </c>
      <c r="J416" s="7" t="s">
        <v>91</v>
      </c>
      <c r="K416" s="5" t="s">
        <v>75</v>
      </c>
      <c r="L416" s="11">
        <v>46045</v>
      </c>
      <c r="M416" s="26" t="str">
        <f>IF(Tabela4[[#This Row],[RECOMPRADO]]="RECEBIDO","LIQUIDADO",IF(O416="LIQUIDADO","LIQUIDADO",IF(I416&lt;$I$5,"VENCIDO","A VENCER")))</f>
        <v>LIQUIDADO</v>
      </c>
      <c r="N416" s="212" t="str">
        <f>IF(Tabela4[[#This Row],[STATUS]]="LIQUIDADO","",Tabela4[[#This Row],[VCTO]]-$I$5)</f>
        <v/>
      </c>
      <c r="O416" s="224" t="s">
        <v>86</v>
      </c>
      <c r="P416" s="11"/>
      <c r="Q416" s="26"/>
      <c r="R416" s="26"/>
      <c r="S416" s="26"/>
      <c r="T416" s="26" t="s">
        <v>388</v>
      </c>
      <c r="U416" s="26"/>
      <c r="V416" s="5" t="s">
        <v>648</v>
      </c>
    </row>
    <row r="417" spans="1:22">
      <c r="A417" s="26" t="s">
        <v>0</v>
      </c>
      <c r="B417" s="11">
        <v>46045</v>
      </c>
      <c r="C417" s="11" t="s">
        <v>41</v>
      </c>
      <c r="D417" s="245">
        <v>311</v>
      </c>
      <c r="E417" s="10" t="s">
        <v>92</v>
      </c>
      <c r="F417" s="26" t="s">
        <v>24</v>
      </c>
      <c r="G417" s="225" t="s">
        <v>59</v>
      </c>
      <c r="H417" s="39">
        <v>23002</v>
      </c>
      <c r="I417" s="216">
        <v>46080</v>
      </c>
      <c r="J417" s="7" t="s">
        <v>91</v>
      </c>
      <c r="K417" s="5" t="s">
        <v>72</v>
      </c>
      <c r="L417" s="11">
        <v>46045</v>
      </c>
      <c r="M417" s="26" t="str">
        <f>IF(Tabela4[[#This Row],[RECOMPRADO]]="RECEBIDO","LIQUIDADO",IF(O417="LIQUIDADO","LIQUIDADO",IF(I417&lt;$I$5,"VENCIDO","A VENCER")))</f>
        <v>LIQUIDADO</v>
      </c>
      <c r="N417" s="212" t="str">
        <f>IF(Tabela4[[#This Row],[STATUS]]="LIQUIDADO","",Tabela4[[#This Row],[VCTO]]-$I$5)</f>
        <v/>
      </c>
      <c r="O417" s="11" t="s">
        <v>86</v>
      </c>
      <c r="P417" s="11"/>
      <c r="Q417" s="26"/>
      <c r="R417" s="26"/>
      <c r="S417" s="26"/>
      <c r="T417" s="26" t="s">
        <v>388</v>
      </c>
      <c r="U417" s="26"/>
      <c r="V417" s="5" t="s">
        <v>648</v>
      </c>
    </row>
    <row r="418" spans="1:22">
      <c r="A418" s="26" t="s">
        <v>0</v>
      </c>
      <c r="B418" s="11">
        <v>46045</v>
      </c>
      <c r="C418" s="11" t="s">
        <v>41</v>
      </c>
      <c r="D418" s="245">
        <v>312</v>
      </c>
      <c r="E418" s="10" t="s">
        <v>92</v>
      </c>
      <c r="F418" s="26" t="s">
        <v>24</v>
      </c>
      <c r="G418" s="225" t="s">
        <v>59</v>
      </c>
      <c r="H418" s="39">
        <v>80000</v>
      </c>
      <c r="I418" s="216">
        <v>46080</v>
      </c>
      <c r="J418" s="7" t="s">
        <v>91</v>
      </c>
      <c r="K418" s="5" t="s">
        <v>79</v>
      </c>
      <c r="L418" s="6">
        <v>46045</v>
      </c>
      <c r="M418" s="5" t="str">
        <f>IF(Tabela4[[#This Row],[RECOMPRADO]]="RECEBIDO","LIQUIDADO",IF(O418="LIQUIDADO","LIQUIDADO",IF(I418&lt;$I$5,"VENCIDO","A VENCER")))</f>
        <v>LIQUIDADO</v>
      </c>
      <c r="N418" s="211" t="str">
        <f>IF(Tabela4[[#This Row],[STATUS]]="LIQUIDADO","",Tabela4[[#This Row],[VCTO]]-$I$5)</f>
        <v/>
      </c>
      <c r="O418" s="11" t="s">
        <v>86</v>
      </c>
      <c r="P418" s="6"/>
      <c r="Q418" s="5"/>
      <c r="R418" s="5"/>
      <c r="S418" s="5"/>
      <c r="T418" s="5" t="s">
        <v>388</v>
      </c>
      <c r="U418" s="5"/>
      <c r="V418" s="5" t="s">
        <v>635</v>
      </c>
    </row>
    <row r="419" spans="1:22">
      <c r="A419" s="26" t="s">
        <v>0</v>
      </c>
      <c r="B419" s="11">
        <v>46045</v>
      </c>
      <c r="C419" s="11" t="s">
        <v>41</v>
      </c>
      <c r="D419" s="26">
        <v>313</v>
      </c>
      <c r="E419" s="10" t="s">
        <v>92</v>
      </c>
      <c r="F419" s="26" t="s">
        <v>118</v>
      </c>
      <c r="G419" s="215" t="s">
        <v>127</v>
      </c>
      <c r="H419" s="39">
        <v>12550</v>
      </c>
      <c r="I419" s="216">
        <v>46075</v>
      </c>
      <c r="J419" s="7" t="s">
        <v>91</v>
      </c>
      <c r="K419" s="5" t="s">
        <v>81</v>
      </c>
      <c r="L419" s="6">
        <v>46050</v>
      </c>
      <c r="M419" s="5" t="str">
        <f>IF(Tabela4[[#This Row],[RECOMPRADO]]="RECEBIDO","LIQUIDADO",IF(O419="LIQUIDADO","LIQUIDADO",IF(I419&lt;$I$5,"VENCIDO","A VENCER")))</f>
        <v>LIQUIDADO</v>
      </c>
      <c r="N419" s="211" t="str">
        <f>IF(Tabela4[[#This Row],[STATUS]]="LIQUIDADO","",Tabela4[[#This Row],[VCTO]]-$I$5)</f>
        <v/>
      </c>
      <c r="O419" s="6" t="s">
        <v>86</v>
      </c>
      <c r="P419" s="6"/>
      <c r="Q419" s="5"/>
      <c r="R419" s="5"/>
      <c r="S419" s="5"/>
      <c r="T419" s="5" t="s">
        <v>536</v>
      </c>
      <c r="U419" s="5"/>
      <c r="V419" s="5"/>
    </row>
    <row r="420" spans="1:22">
      <c r="A420" s="26" t="s">
        <v>0</v>
      </c>
      <c r="B420" s="11">
        <v>46048</v>
      </c>
      <c r="C420" s="11" t="s">
        <v>43</v>
      </c>
      <c r="D420" s="26">
        <v>314</v>
      </c>
      <c r="E420" s="10" t="s">
        <v>92</v>
      </c>
      <c r="F420" s="26" t="s">
        <v>119</v>
      </c>
      <c r="G420" s="225" t="s">
        <v>128</v>
      </c>
      <c r="H420" s="39">
        <v>3380</v>
      </c>
      <c r="I420" s="216">
        <v>46048</v>
      </c>
      <c r="J420" s="7" t="s">
        <v>125</v>
      </c>
      <c r="K420" s="5" t="s">
        <v>0</v>
      </c>
      <c r="L420" s="6">
        <v>46038</v>
      </c>
      <c r="M420" s="5" t="str">
        <f>IF(Tabela4[[#This Row],[RECOMPRADO]]="RECEBIDO","LIQUIDADO",IF(O420="LIQUIDADO","LIQUIDADO",IF(I420&lt;$I$5,"VENCIDO","A VENCER")))</f>
        <v>LIQUIDADO</v>
      </c>
      <c r="N420" s="211" t="str">
        <f>IF(Tabela4[[#This Row],[STATUS]]="LIQUIDADO","",Tabela4[[#This Row],[VCTO]]-$I$5)</f>
        <v/>
      </c>
      <c r="O420" s="219" t="s">
        <v>86</v>
      </c>
      <c r="P420" s="6"/>
      <c r="Q420" s="5"/>
      <c r="R420" s="5"/>
      <c r="S420" s="5"/>
      <c r="T420" s="5"/>
      <c r="U420" s="5"/>
      <c r="V420" s="5"/>
    </row>
    <row r="421" spans="1:22">
      <c r="A421" s="26" t="s">
        <v>0</v>
      </c>
      <c r="B421" s="11">
        <v>46048</v>
      </c>
      <c r="C421" s="11" t="s">
        <v>41</v>
      </c>
      <c r="D421" s="26">
        <v>314</v>
      </c>
      <c r="E421" s="10" t="s">
        <v>92</v>
      </c>
      <c r="F421" s="26" t="s">
        <v>119</v>
      </c>
      <c r="G421" s="225" t="s">
        <v>128</v>
      </c>
      <c r="H421" s="39">
        <v>3380</v>
      </c>
      <c r="I421" s="216">
        <v>46048</v>
      </c>
      <c r="J421" s="7" t="s">
        <v>125</v>
      </c>
      <c r="K421" s="5" t="s">
        <v>0</v>
      </c>
      <c r="L421" s="6">
        <v>46038</v>
      </c>
      <c r="M421" s="5" t="str">
        <f>IF(Tabela4[[#This Row],[RECOMPRADO]]="RECEBIDO","LIQUIDADO",IF(O421="LIQUIDADO","LIQUIDADO",IF(I421&lt;$I$5,"VENCIDO","A VENCER")))</f>
        <v>LIQUIDADO</v>
      </c>
      <c r="N421" s="211" t="str">
        <f>IF(Tabela4[[#This Row],[STATUS]]="LIQUIDADO","",Tabela4[[#This Row],[VCTO]]-$I$5)</f>
        <v/>
      </c>
      <c r="O421" s="224" t="s">
        <v>86</v>
      </c>
      <c r="P421" s="6"/>
      <c r="Q421" s="5"/>
      <c r="R421" s="5"/>
      <c r="S421" s="5"/>
      <c r="T421" s="5"/>
      <c r="U421" s="5"/>
      <c r="V421" s="5"/>
    </row>
    <row r="422" spans="1:22" s="279" customFormat="1">
      <c r="A422" s="26" t="s">
        <v>0</v>
      </c>
      <c r="B422" s="11">
        <v>46048</v>
      </c>
      <c r="C422" s="11" t="s">
        <v>43</v>
      </c>
      <c r="D422" s="26">
        <v>315</v>
      </c>
      <c r="E422" s="10" t="s">
        <v>92</v>
      </c>
      <c r="F422" s="26" t="s">
        <v>120</v>
      </c>
      <c r="G422" s="225" t="s">
        <v>129</v>
      </c>
      <c r="H422" s="39">
        <v>511.67</v>
      </c>
      <c r="I422" s="216">
        <v>46076</v>
      </c>
      <c r="J422" s="7" t="s">
        <v>91</v>
      </c>
      <c r="K422" s="5" t="s">
        <v>77</v>
      </c>
      <c r="L422" s="6">
        <v>46052</v>
      </c>
      <c r="M422" s="5" t="str">
        <f>IF(Tabela4[[#This Row],[RECOMPRADO]]="RECEBIDO","LIQUIDADO",IF(O422="LIQUIDADO","LIQUIDADO",IF(I422&lt;$I$5,"VENCIDO","A VENCER")))</f>
        <v>LIQUIDADO</v>
      </c>
      <c r="N422" s="211" t="str">
        <f>IF(Tabela4[[#This Row],[STATUS]]="LIQUIDADO","",Tabela4[[#This Row],[VCTO]]-$I$5)</f>
        <v/>
      </c>
      <c r="O422" s="224" t="s">
        <v>86</v>
      </c>
      <c r="P422" s="6"/>
      <c r="Q422" s="5"/>
      <c r="R422" s="5"/>
      <c r="S422" s="5"/>
      <c r="T422" s="5" t="s">
        <v>399</v>
      </c>
      <c r="U422" s="5"/>
      <c r="V422" s="5"/>
    </row>
    <row r="423" spans="1:22" s="279" customFormat="1">
      <c r="A423" s="26" t="s">
        <v>0</v>
      </c>
      <c r="B423" s="11">
        <v>46048</v>
      </c>
      <c r="C423" s="11" t="s">
        <v>43</v>
      </c>
      <c r="D423" s="26">
        <v>315</v>
      </c>
      <c r="E423" s="10" t="s">
        <v>95</v>
      </c>
      <c r="F423" s="26" t="s">
        <v>120</v>
      </c>
      <c r="G423" s="225" t="s">
        <v>129</v>
      </c>
      <c r="H423" s="39">
        <v>511.67</v>
      </c>
      <c r="I423" s="216">
        <v>46083</v>
      </c>
      <c r="J423" s="7" t="s">
        <v>91</v>
      </c>
      <c r="K423" s="5" t="s">
        <v>77</v>
      </c>
      <c r="L423" s="6">
        <v>46052</v>
      </c>
      <c r="M423" s="5" t="str">
        <f>IF(Tabela4[[#This Row],[RECOMPRADO]]="RECEBIDO","LIQUIDADO",IF(O423="LIQUIDADO","LIQUIDADO",IF(I423&lt;$I$5,"VENCIDO","A VENCER")))</f>
        <v>LIQUIDADO</v>
      </c>
      <c r="N423" s="211" t="str">
        <f>IF(Tabela4[[#This Row],[STATUS]]="LIQUIDADO","",Tabela4[[#This Row],[VCTO]]-$I$5)</f>
        <v/>
      </c>
      <c r="O423" s="11" t="s">
        <v>86</v>
      </c>
      <c r="P423" s="6"/>
      <c r="Q423" s="5"/>
      <c r="R423" s="5"/>
      <c r="S423" s="5"/>
      <c r="T423" s="5" t="s">
        <v>399</v>
      </c>
      <c r="U423" s="5"/>
      <c r="V423" s="5"/>
    </row>
    <row r="424" spans="1:22" s="279" customFormat="1">
      <c r="A424" s="26" t="s">
        <v>0</v>
      </c>
      <c r="B424" s="11">
        <v>46048</v>
      </c>
      <c r="C424" s="11" t="s">
        <v>43</v>
      </c>
      <c r="D424" s="26">
        <v>315</v>
      </c>
      <c r="E424" s="10" t="s">
        <v>96</v>
      </c>
      <c r="F424" s="26" t="s">
        <v>120</v>
      </c>
      <c r="G424" s="225" t="s">
        <v>129</v>
      </c>
      <c r="H424" s="39">
        <v>511.67</v>
      </c>
      <c r="I424" s="216">
        <v>46090</v>
      </c>
      <c r="J424" s="7" t="s">
        <v>91</v>
      </c>
      <c r="K424" s="5" t="s">
        <v>77</v>
      </c>
      <c r="L424" s="6">
        <v>46052</v>
      </c>
      <c r="M424" s="5" t="str">
        <f>IF(Tabela4[[#This Row],[RECOMPRADO]]="RECEBIDO","LIQUIDADO",IF(O424="LIQUIDADO","LIQUIDADO",IF(I424&lt;$I$5,"VENCIDO","A VENCER")))</f>
        <v>LIQUIDADO</v>
      </c>
      <c r="N424" s="211" t="str">
        <f>IF(Tabela4[[#This Row],[STATUS]]="LIQUIDADO","",Tabela4[[#This Row],[VCTO]]-$I$5)</f>
        <v/>
      </c>
      <c r="O424" s="11" t="s">
        <v>86</v>
      </c>
      <c r="P424" s="6"/>
      <c r="Q424" s="5"/>
      <c r="R424" s="5"/>
      <c r="S424" s="5"/>
      <c r="T424" s="5" t="s">
        <v>399</v>
      </c>
      <c r="U424" s="5"/>
      <c r="V424" s="5"/>
    </row>
    <row r="425" spans="1:22">
      <c r="A425" s="26" t="s">
        <v>0</v>
      </c>
      <c r="B425" s="11">
        <v>46048</v>
      </c>
      <c r="C425" s="11" t="s">
        <v>41</v>
      </c>
      <c r="D425" s="26">
        <v>315</v>
      </c>
      <c r="E425" s="10" t="s">
        <v>92</v>
      </c>
      <c r="F425" s="26" t="s">
        <v>120</v>
      </c>
      <c r="G425" s="225" t="s">
        <v>129</v>
      </c>
      <c r="H425" s="39">
        <v>627.71</v>
      </c>
      <c r="I425" s="216">
        <v>46076</v>
      </c>
      <c r="J425" s="7" t="s">
        <v>91</v>
      </c>
      <c r="K425" s="5" t="s">
        <v>77</v>
      </c>
      <c r="L425" s="6">
        <v>46052</v>
      </c>
      <c r="M425" s="5" t="str">
        <f>IF(Tabela4[[#This Row],[RECOMPRADO]]="RECEBIDO","LIQUIDADO",IF(O425="LIQUIDADO","LIQUIDADO",IF(I425&lt;$I$5,"VENCIDO","A VENCER")))</f>
        <v>LIQUIDADO</v>
      </c>
      <c r="N425" s="211" t="str">
        <f>IF(Tabela4[[#This Row],[STATUS]]="LIQUIDADO","",Tabela4[[#This Row],[VCTO]]-$I$5)</f>
        <v/>
      </c>
      <c r="O425" s="6" t="s">
        <v>86</v>
      </c>
      <c r="P425" s="6"/>
      <c r="Q425" s="5"/>
      <c r="R425" s="5"/>
      <c r="S425" s="5"/>
      <c r="T425" s="5" t="s">
        <v>399</v>
      </c>
      <c r="U425" s="5"/>
      <c r="V425" s="5"/>
    </row>
    <row r="426" spans="1:22">
      <c r="A426" s="26" t="s">
        <v>0</v>
      </c>
      <c r="B426" s="11">
        <v>46048</v>
      </c>
      <c r="C426" s="11" t="s">
        <v>41</v>
      </c>
      <c r="D426" s="26">
        <v>315</v>
      </c>
      <c r="E426" s="10" t="s">
        <v>95</v>
      </c>
      <c r="F426" s="26" t="s">
        <v>120</v>
      </c>
      <c r="G426" s="225" t="s">
        <v>129</v>
      </c>
      <c r="H426" s="39">
        <v>511.67</v>
      </c>
      <c r="I426" s="216">
        <v>46083</v>
      </c>
      <c r="J426" s="7" t="s">
        <v>91</v>
      </c>
      <c r="K426" s="5" t="s">
        <v>77</v>
      </c>
      <c r="L426" s="6">
        <v>46052</v>
      </c>
      <c r="M426" s="5" t="str">
        <f>IF(Tabela4[[#This Row],[RECOMPRADO]]="RECEBIDO","LIQUIDADO",IF(O426="LIQUIDADO","LIQUIDADO",IF(I426&lt;$I$5,"VENCIDO","A VENCER")))</f>
        <v>LIQUIDADO</v>
      </c>
      <c r="N426" s="211" t="str">
        <f>IF(Tabela4[[#This Row],[STATUS]]="LIQUIDADO","",Tabela4[[#This Row],[VCTO]]-$I$5)</f>
        <v/>
      </c>
      <c r="O426" s="219" t="s">
        <v>86</v>
      </c>
      <c r="P426" s="6"/>
      <c r="Q426" s="5"/>
      <c r="R426" s="5"/>
      <c r="S426" s="5"/>
      <c r="T426" s="5" t="s">
        <v>399</v>
      </c>
      <c r="U426" s="5"/>
      <c r="V426" s="5"/>
    </row>
    <row r="427" spans="1:22">
      <c r="A427" s="26" t="s">
        <v>0</v>
      </c>
      <c r="B427" s="11">
        <v>46048</v>
      </c>
      <c r="C427" s="11" t="s">
        <v>41</v>
      </c>
      <c r="D427" s="26">
        <v>315</v>
      </c>
      <c r="E427" s="10" t="s">
        <v>96</v>
      </c>
      <c r="F427" s="26" t="s">
        <v>120</v>
      </c>
      <c r="G427" s="225" t="s">
        <v>129</v>
      </c>
      <c r="H427" s="39">
        <v>511.67</v>
      </c>
      <c r="I427" s="216">
        <v>46090</v>
      </c>
      <c r="J427" s="7" t="s">
        <v>91</v>
      </c>
      <c r="K427" s="5" t="s">
        <v>77</v>
      </c>
      <c r="L427" s="11">
        <v>46052</v>
      </c>
      <c r="M427" s="26" t="str">
        <f>IF(Tabela4[[#This Row],[RECOMPRADO]]="RECEBIDO","LIQUIDADO",IF(O427="LIQUIDADO","LIQUIDADO",IF(I427&lt;$I$5,"VENCIDO","A VENCER")))</f>
        <v>LIQUIDADO</v>
      </c>
      <c r="N427" s="212" t="str">
        <f>IF(Tabela4[[#This Row],[STATUS]]="LIQUIDADO","",Tabela4[[#This Row],[VCTO]]-$I$5)</f>
        <v/>
      </c>
      <c r="O427" s="224" t="s">
        <v>86</v>
      </c>
      <c r="P427" s="11"/>
      <c r="Q427" s="26"/>
      <c r="R427" s="26"/>
      <c r="S427" s="26"/>
      <c r="T427" s="26" t="s">
        <v>399</v>
      </c>
      <c r="U427" s="26"/>
      <c r="V427" s="5"/>
    </row>
    <row r="428" spans="1:22">
      <c r="A428" s="269" t="s">
        <v>0</v>
      </c>
      <c r="B428" s="270">
        <v>46048</v>
      </c>
      <c r="C428" s="270" t="s">
        <v>41</v>
      </c>
      <c r="D428" s="269">
        <v>316</v>
      </c>
      <c r="E428" s="271" t="s">
        <v>92</v>
      </c>
      <c r="F428" s="269" t="s">
        <v>121</v>
      </c>
      <c r="G428" s="272" t="s">
        <v>255</v>
      </c>
      <c r="H428" s="273">
        <v>2189.91</v>
      </c>
      <c r="I428" s="274">
        <v>46076</v>
      </c>
      <c r="J428" s="275" t="s">
        <v>91</v>
      </c>
      <c r="K428" s="276" t="s">
        <v>73</v>
      </c>
      <c r="L428" s="277">
        <v>46050</v>
      </c>
      <c r="M428" s="276" t="str">
        <f>IF(Tabela4[[#This Row],[RECOMPRADO]]="RECEBIDO","LIQUIDADO",IF(O428="LIQUIDADO","LIQUIDADO",IF(I428&lt;$I$5,"VENCIDO","A VENCER")))</f>
        <v>LIQUIDADO</v>
      </c>
      <c r="N428" s="278" t="str">
        <f>IF(Tabela4[[#This Row],[STATUS]]="LIQUIDADO","",Tabela4[[#This Row],[VCTO]]-$I$5)</f>
        <v/>
      </c>
      <c r="O428" s="270" t="s">
        <v>86</v>
      </c>
      <c r="P428" s="277" t="s">
        <v>521</v>
      </c>
      <c r="Q428" s="276"/>
      <c r="R428" s="276"/>
      <c r="S428" s="276"/>
      <c r="T428" s="276" t="s">
        <v>524</v>
      </c>
      <c r="U428" s="276"/>
      <c r="V428" s="5"/>
    </row>
    <row r="429" spans="1:22">
      <c r="A429" s="269" t="s">
        <v>0</v>
      </c>
      <c r="B429" s="270">
        <v>46048</v>
      </c>
      <c r="C429" s="270" t="s">
        <v>41</v>
      </c>
      <c r="D429" s="269">
        <v>316</v>
      </c>
      <c r="E429" s="271" t="s">
        <v>95</v>
      </c>
      <c r="F429" s="269" t="s">
        <v>121</v>
      </c>
      <c r="G429" s="272" t="s">
        <v>255</v>
      </c>
      <c r="H429" s="273">
        <v>1556.67</v>
      </c>
      <c r="I429" s="274">
        <v>46083</v>
      </c>
      <c r="J429" s="275" t="s">
        <v>91</v>
      </c>
      <c r="K429" s="276" t="s">
        <v>73</v>
      </c>
      <c r="L429" s="270">
        <v>46050</v>
      </c>
      <c r="M429" s="269" t="str">
        <f>IF(Tabela4[[#This Row],[RECOMPRADO]]="RECEBIDO","LIQUIDADO",IF(O429="LIQUIDADO","LIQUIDADO",IF(I429&lt;$I$5,"VENCIDO","A VENCER")))</f>
        <v>LIQUIDADO</v>
      </c>
      <c r="N429" s="285" t="str">
        <f>IF(Tabela4[[#This Row],[STATUS]]="LIQUIDADO","",Tabela4[[#This Row],[VCTO]]-$I$5)</f>
        <v/>
      </c>
      <c r="O429" s="270" t="s">
        <v>86</v>
      </c>
      <c r="P429" s="270" t="s">
        <v>521</v>
      </c>
      <c r="Q429" s="269"/>
      <c r="R429" s="269"/>
      <c r="S429" s="269"/>
      <c r="T429" s="269" t="s">
        <v>524</v>
      </c>
      <c r="U429" s="269"/>
      <c r="V429" s="5"/>
    </row>
    <row r="430" spans="1:22">
      <c r="A430" s="269" t="s">
        <v>0</v>
      </c>
      <c r="B430" s="270">
        <v>46048</v>
      </c>
      <c r="C430" s="270" t="s">
        <v>41</v>
      </c>
      <c r="D430" s="269">
        <v>316</v>
      </c>
      <c r="E430" s="271" t="s">
        <v>96</v>
      </c>
      <c r="F430" s="269" t="s">
        <v>121</v>
      </c>
      <c r="G430" s="272" t="s">
        <v>255</v>
      </c>
      <c r="H430" s="273">
        <v>1566.67</v>
      </c>
      <c r="I430" s="274">
        <v>46090</v>
      </c>
      <c r="J430" s="275" t="s">
        <v>91</v>
      </c>
      <c r="K430" s="276" t="s">
        <v>73</v>
      </c>
      <c r="L430" s="277">
        <v>46050</v>
      </c>
      <c r="M430" s="276" t="str">
        <f>IF(Tabela4[[#This Row],[RECOMPRADO]]="RECEBIDO","LIQUIDADO",IF(O430="LIQUIDADO","LIQUIDADO",IF(I430&lt;$I$5,"VENCIDO","A VENCER")))</f>
        <v>LIQUIDADO</v>
      </c>
      <c r="N430" s="278" t="str">
        <f>IF(Tabela4[[#This Row],[STATUS]]="LIQUIDADO","",Tabela4[[#This Row],[VCTO]]-$I$5)</f>
        <v/>
      </c>
      <c r="O430" s="270" t="s">
        <v>86</v>
      </c>
      <c r="P430" s="277" t="s">
        <v>521</v>
      </c>
      <c r="Q430" s="276"/>
      <c r="R430" s="276"/>
      <c r="S430" s="276"/>
      <c r="T430" s="276" t="s">
        <v>524</v>
      </c>
      <c r="U430" s="276"/>
      <c r="V430" s="5"/>
    </row>
    <row r="431" spans="1:22">
      <c r="A431" s="26" t="s">
        <v>0</v>
      </c>
      <c r="B431" s="11">
        <v>46048</v>
      </c>
      <c r="C431" s="11" t="s">
        <v>41</v>
      </c>
      <c r="D431" s="26">
        <v>317</v>
      </c>
      <c r="E431" s="10" t="s">
        <v>92</v>
      </c>
      <c r="F431" s="26" t="s">
        <v>122</v>
      </c>
      <c r="G431" s="225" t="s">
        <v>130</v>
      </c>
      <c r="H431" s="39">
        <v>631.58000000000004</v>
      </c>
      <c r="I431" s="216">
        <v>46077</v>
      </c>
      <c r="J431" s="7" t="s">
        <v>91</v>
      </c>
      <c r="K431" s="5" t="s">
        <v>77</v>
      </c>
      <c r="L431" s="6">
        <v>46052</v>
      </c>
      <c r="M431" s="5" t="str">
        <f>IF(Tabela4[[#This Row],[RECOMPRADO]]="RECEBIDO","LIQUIDADO",IF(O431="LIQUIDADO","LIQUIDADO",IF(I431&lt;$I$5,"VENCIDO","A VENCER")))</f>
        <v>LIQUIDADO</v>
      </c>
      <c r="N431" s="211" t="str">
        <f>IF(Tabela4[[#This Row],[STATUS]]="LIQUIDADO","",Tabela4[[#This Row],[VCTO]]-$I$5)</f>
        <v/>
      </c>
      <c r="O431" s="6" t="s">
        <v>86</v>
      </c>
      <c r="P431" s="6"/>
      <c r="Q431" s="5"/>
      <c r="R431" s="5"/>
      <c r="S431" s="5"/>
      <c r="T431" s="5"/>
      <c r="U431" s="5"/>
      <c r="V431" s="5"/>
    </row>
    <row r="432" spans="1:22">
      <c r="A432" s="26" t="s">
        <v>0</v>
      </c>
      <c r="B432" s="11">
        <v>46048</v>
      </c>
      <c r="C432" s="11" t="s">
        <v>41</v>
      </c>
      <c r="D432" s="26">
        <v>317</v>
      </c>
      <c r="E432" s="10" t="s">
        <v>95</v>
      </c>
      <c r="F432" s="26" t="s">
        <v>122</v>
      </c>
      <c r="G432" s="225" t="s">
        <v>130</v>
      </c>
      <c r="H432" s="39">
        <v>514.84</v>
      </c>
      <c r="I432" s="216">
        <v>46084</v>
      </c>
      <c r="J432" s="7" t="s">
        <v>91</v>
      </c>
      <c r="K432" s="5" t="s">
        <v>77</v>
      </c>
      <c r="L432" s="6">
        <v>46052</v>
      </c>
      <c r="M432" s="5" t="str">
        <f>IF(Tabela4[[#This Row],[RECOMPRADO]]="RECEBIDO","LIQUIDADO",IF(O432="LIQUIDADO","LIQUIDADO",IF(I432&lt;$I$5,"VENCIDO","A VENCER")))</f>
        <v>LIQUIDADO</v>
      </c>
      <c r="N432" s="211" t="str">
        <f>IF(Tabela4[[#This Row],[STATUS]]="LIQUIDADO","",Tabela4[[#This Row],[VCTO]]-$I$5)</f>
        <v/>
      </c>
      <c r="O432" s="219" t="s">
        <v>86</v>
      </c>
      <c r="P432" s="6"/>
      <c r="Q432" s="5"/>
      <c r="R432" s="5"/>
      <c r="S432" s="5"/>
      <c r="T432" s="5"/>
      <c r="U432" s="5"/>
      <c r="V432" s="5"/>
    </row>
    <row r="433" spans="1:22">
      <c r="A433" s="26" t="s">
        <v>0</v>
      </c>
      <c r="B433" s="11">
        <v>46048</v>
      </c>
      <c r="C433" s="11" t="s">
        <v>41</v>
      </c>
      <c r="D433" s="26">
        <v>317</v>
      </c>
      <c r="E433" s="10" t="s">
        <v>96</v>
      </c>
      <c r="F433" s="26" t="s">
        <v>122</v>
      </c>
      <c r="G433" s="225" t="s">
        <v>130</v>
      </c>
      <c r="H433" s="39">
        <v>514.84</v>
      </c>
      <c r="I433" s="216">
        <v>46091</v>
      </c>
      <c r="J433" s="7" t="s">
        <v>91</v>
      </c>
      <c r="K433" s="5" t="s">
        <v>77</v>
      </c>
      <c r="L433" s="6">
        <v>46052</v>
      </c>
      <c r="M433" s="5" t="str">
        <f>IF(Tabela4[[#This Row],[RECOMPRADO]]="RECEBIDO","LIQUIDADO",IF(O433="LIQUIDADO","LIQUIDADO",IF(I433&lt;$I$5,"VENCIDO","A VENCER")))</f>
        <v>LIQUIDADO</v>
      </c>
      <c r="N433" s="211" t="str">
        <f>IF(Tabela4[[#This Row],[STATUS]]="LIQUIDADO","",Tabela4[[#This Row],[VCTO]]-$I$5)</f>
        <v/>
      </c>
      <c r="O433" s="224" t="s">
        <v>86</v>
      </c>
      <c r="P433" s="6"/>
      <c r="Q433" s="5"/>
      <c r="R433" s="5"/>
      <c r="S433" s="5"/>
      <c r="T433" s="5"/>
      <c r="U433" s="5"/>
      <c r="V433" s="5"/>
    </row>
    <row r="434" spans="1:22">
      <c r="A434" s="26" t="s">
        <v>0</v>
      </c>
      <c r="B434" s="11">
        <v>46048</v>
      </c>
      <c r="C434" s="11" t="s">
        <v>43</v>
      </c>
      <c r="D434" s="26">
        <v>317</v>
      </c>
      <c r="E434" s="10" t="s">
        <v>92</v>
      </c>
      <c r="F434" s="26" t="s">
        <v>122</v>
      </c>
      <c r="G434" s="225" t="s">
        <v>130</v>
      </c>
      <c r="H434" s="39">
        <v>514.84</v>
      </c>
      <c r="I434" s="216">
        <v>46077</v>
      </c>
      <c r="J434" s="7" t="s">
        <v>91</v>
      </c>
      <c r="K434" s="5" t="s">
        <v>77</v>
      </c>
      <c r="L434" s="11">
        <v>46052</v>
      </c>
      <c r="M434" s="26" t="str">
        <f>IF(Tabela4[[#This Row],[RECOMPRADO]]="RECEBIDO","LIQUIDADO",IF(O434="LIQUIDADO","LIQUIDADO",IF(I434&lt;$I$5,"VENCIDO","A VENCER")))</f>
        <v>LIQUIDADO</v>
      </c>
      <c r="N434" s="212" t="str">
        <f>IF(Tabela4[[#This Row],[STATUS]]="LIQUIDADO","",Tabela4[[#This Row],[VCTO]]-$I$5)</f>
        <v/>
      </c>
      <c r="O434" s="224" t="s">
        <v>86</v>
      </c>
      <c r="P434" s="11"/>
      <c r="Q434" s="26"/>
      <c r="R434" s="26"/>
      <c r="S434" s="26"/>
      <c r="T434" s="26"/>
      <c r="U434" s="26"/>
      <c r="V434" s="5"/>
    </row>
    <row r="435" spans="1:22">
      <c r="A435" s="26" t="s">
        <v>0</v>
      </c>
      <c r="B435" s="11">
        <v>46048</v>
      </c>
      <c r="C435" s="11" t="s">
        <v>43</v>
      </c>
      <c r="D435" s="26">
        <v>317</v>
      </c>
      <c r="E435" s="10" t="s">
        <v>95</v>
      </c>
      <c r="F435" s="26" t="s">
        <v>122</v>
      </c>
      <c r="G435" s="225" t="s">
        <v>130</v>
      </c>
      <c r="H435" s="39">
        <v>514.84</v>
      </c>
      <c r="I435" s="216">
        <v>46084</v>
      </c>
      <c r="J435" s="7" t="s">
        <v>91</v>
      </c>
      <c r="K435" s="5" t="s">
        <v>77</v>
      </c>
      <c r="L435" s="6">
        <v>46052</v>
      </c>
      <c r="M435" s="5" t="str">
        <f>IF(Tabela4[[#This Row],[RECOMPRADO]]="RECEBIDO","LIQUIDADO",IF(O435="LIQUIDADO","LIQUIDADO",IF(I435&lt;$I$5,"VENCIDO","A VENCER")))</f>
        <v>LIQUIDADO</v>
      </c>
      <c r="N435" s="211" t="str">
        <f>IF(Tabela4[[#This Row],[STATUS]]="LIQUIDADO","",Tabela4[[#This Row],[VCTO]]-$I$5)</f>
        <v/>
      </c>
      <c r="O435" s="11" t="s">
        <v>86</v>
      </c>
      <c r="P435" s="6"/>
      <c r="Q435" s="5"/>
      <c r="R435" s="5"/>
      <c r="S435" s="5"/>
      <c r="T435" s="5"/>
      <c r="U435" s="5"/>
      <c r="V435" s="5"/>
    </row>
    <row r="436" spans="1:22">
      <c r="A436" s="26" t="s">
        <v>0</v>
      </c>
      <c r="B436" s="11">
        <v>46048</v>
      </c>
      <c r="C436" s="11" t="s">
        <v>43</v>
      </c>
      <c r="D436" s="26">
        <v>317</v>
      </c>
      <c r="E436" s="10" t="s">
        <v>96</v>
      </c>
      <c r="F436" s="26" t="s">
        <v>122</v>
      </c>
      <c r="G436" s="225" t="s">
        <v>130</v>
      </c>
      <c r="H436" s="39">
        <v>514.84</v>
      </c>
      <c r="I436" s="216">
        <v>46091</v>
      </c>
      <c r="J436" s="7" t="s">
        <v>91</v>
      </c>
      <c r="K436" s="5" t="s">
        <v>77</v>
      </c>
      <c r="L436" s="6">
        <v>46052</v>
      </c>
      <c r="M436" s="5" t="str">
        <f>IF(Tabela4[[#This Row],[RECOMPRADO]]="RECEBIDO","LIQUIDADO",IF(O436="LIQUIDADO","LIQUIDADO",IF(I436&lt;$I$5,"VENCIDO","A VENCER")))</f>
        <v>LIQUIDADO</v>
      </c>
      <c r="N436" s="211" t="str">
        <f>IF(Tabela4[[#This Row],[STATUS]]="LIQUIDADO","",Tabela4[[#This Row],[VCTO]]-$I$5)</f>
        <v/>
      </c>
      <c r="O436" s="11" t="s">
        <v>86</v>
      </c>
      <c r="P436" s="6"/>
      <c r="Q436" s="5"/>
      <c r="R436" s="5"/>
      <c r="S436" s="5"/>
      <c r="T436" s="5"/>
      <c r="U436" s="5"/>
      <c r="V436" s="5"/>
    </row>
    <row r="437" spans="1:22">
      <c r="A437" s="26" t="s">
        <v>0</v>
      </c>
      <c r="B437" s="11">
        <v>46048</v>
      </c>
      <c r="C437" s="11" t="s">
        <v>41</v>
      </c>
      <c r="D437" s="26">
        <v>318</v>
      </c>
      <c r="E437" s="10" t="s">
        <v>92</v>
      </c>
      <c r="F437" s="26" t="s">
        <v>123</v>
      </c>
      <c r="G437" s="225" t="s">
        <v>131</v>
      </c>
      <c r="H437" s="39">
        <v>2163.33</v>
      </c>
      <c r="I437" s="216">
        <v>46076</v>
      </c>
      <c r="J437" s="7" t="s">
        <v>91</v>
      </c>
      <c r="K437" s="5" t="s">
        <v>73</v>
      </c>
      <c r="L437" s="11">
        <v>46050</v>
      </c>
      <c r="M437" s="26" t="str">
        <f>IF(Tabela4[[#This Row],[RECOMPRADO]]="RECEBIDO","LIQUIDADO",IF(O437="LIQUIDADO","LIQUIDADO",IF(I437&lt;$I$5,"VENCIDO","A VENCER")))</f>
        <v>LIQUIDADO</v>
      </c>
      <c r="N437" s="212" t="str">
        <f>IF(Tabela4[[#This Row],[STATUS]]="LIQUIDADO","",Tabela4[[#This Row],[VCTO]]-$I$5)</f>
        <v/>
      </c>
      <c r="O437" s="6" t="s">
        <v>86</v>
      </c>
      <c r="P437" s="11"/>
      <c r="Q437" s="26"/>
      <c r="R437" s="26"/>
      <c r="S437" s="26"/>
      <c r="T437" s="26"/>
      <c r="U437" s="26"/>
      <c r="V437" s="5"/>
    </row>
    <row r="438" spans="1:22">
      <c r="A438" s="26" t="s">
        <v>0</v>
      </c>
      <c r="B438" s="11">
        <v>46048</v>
      </c>
      <c r="C438" s="11" t="s">
        <v>41</v>
      </c>
      <c r="D438" s="26">
        <v>318</v>
      </c>
      <c r="E438" s="10" t="s">
        <v>95</v>
      </c>
      <c r="F438" s="26" t="s">
        <v>123</v>
      </c>
      <c r="G438" s="225" t="s">
        <v>131</v>
      </c>
      <c r="H438" s="39">
        <v>2163.33</v>
      </c>
      <c r="I438" s="216">
        <v>46083</v>
      </c>
      <c r="J438" s="7" t="s">
        <v>91</v>
      </c>
      <c r="K438" s="5" t="s">
        <v>73</v>
      </c>
      <c r="L438" s="11">
        <v>46050</v>
      </c>
      <c r="M438" s="26" t="str">
        <f>IF(Tabela4[[#This Row],[RECOMPRADO]]="RECEBIDO","LIQUIDADO",IF(O438="LIQUIDADO","LIQUIDADO",IF(I438&lt;$I$5,"VENCIDO","A VENCER")))</f>
        <v>LIQUIDADO</v>
      </c>
      <c r="N438" s="212" t="str">
        <f>IF(Tabela4[[#This Row],[STATUS]]="LIQUIDADO","",Tabela4[[#This Row],[VCTO]]-$I$5)</f>
        <v/>
      </c>
      <c r="O438" s="219" t="s">
        <v>86</v>
      </c>
      <c r="P438" s="11"/>
      <c r="Q438" s="26"/>
      <c r="R438" s="26"/>
      <c r="S438" s="26"/>
      <c r="T438" s="26"/>
      <c r="U438" s="26"/>
      <c r="V438" s="5"/>
    </row>
    <row r="439" spans="1:22">
      <c r="A439" s="26" t="s">
        <v>0</v>
      </c>
      <c r="B439" s="11">
        <v>46048</v>
      </c>
      <c r="C439" s="11" t="s">
        <v>41</v>
      </c>
      <c r="D439" s="26">
        <v>318</v>
      </c>
      <c r="E439" s="10" t="s">
        <v>96</v>
      </c>
      <c r="F439" s="26" t="s">
        <v>123</v>
      </c>
      <c r="G439" s="225" t="s">
        <v>131</v>
      </c>
      <c r="H439" s="39">
        <v>2163.33</v>
      </c>
      <c r="I439" s="216">
        <v>46090</v>
      </c>
      <c r="J439" s="7" t="s">
        <v>91</v>
      </c>
      <c r="K439" s="5" t="s">
        <v>73</v>
      </c>
      <c r="L439" s="11">
        <v>46050</v>
      </c>
      <c r="M439" s="26" t="str">
        <f>IF(Tabela4[[#This Row],[RECOMPRADO]]="RECEBIDO","LIQUIDADO",IF(O439="LIQUIDADO","LIQUIDADO",IF(I439&lt;$I$5,"VENCIDO","A VENCER")))</f>
        <v>LIQUIDADO</v>
      </c>
      <c r="N439" s="212" t="str">
        <f>IF(Tabela4[[#This Row],[STATUS]]="LIQUIDADO","",Tabela4[[#This Row],[VCTO]]-$I$5)</f>
        <v/>
      </c>
      <c r="O439" s="224" t="s">
        <v>86</v>
      </c>
      <c r="P439" s="11"/>
      <c r="Q439" s="26"/>
      <c r="R439" s="26"/>
      <c r="S439" s="26"/>
      <c r="T439" s="26"/>
      <c r="U439" s="26"/>
      <c r="V439" s="5"/>
    </row>
    <row r="440" spans="1:22">
      <c r="A440" s="26" t="s">
        <v>0</v>
      </c>
      <c r="B440" s="11">
        <v>46048</v>
      </c>
      <c r="C440" s="11" t="s">
        <v>41</v>
      </c>
      <c r="D440" s="26">
        <v>319</v>
      </c>
      <c r="E440" s="10" t="s">
        <v>92</v>
      </c>
      <c r="F440" s="26" t="s">
        <v>124</v>
      </c>
      <c r="G440" s="225" t="s">
        <v>132</v>
      </c>
      <c r="H440" s="39">
        <v>3903.33</v>
      </c>
      <c r="I440" s="216">
        <v>46077</v>
      </c>
      <c r="J440" s="7" t="s">
        <v>91</v>
      </c>
      <c r="K440" s="5" t="s">
        <v>73</v>
      </c>
      <c r="L440" s="6">
        <v>46050</v>
      </c>
      <c r="M440" s="5" t="str">
        <f>IF(Tabela4[[#This Row],[RECOMPRADO]]="RECEBIDO","LIQUIDADO",IF(O440="LIQUIDADO","LIQUIDADO",IF(I440&lt;$I$5,"VENCIDO","A VENCER")))</f>
        <v>LIQUIDADO</v>
      </c>
      <c r="N440" s="211" t="str">
        <f>IF(Tabela4[[#This Row],[STATUS]]="LIQUIDADO","",Tabela4[[#This Row],[VCTO]]-$I$5)</f>
        <v/>
      </c>
      <c r="O440" s="224" t="s">
        <v>86</v>
      </c>
      <c r="P440" s="6"/>
      <c r="Q440" s="5"/>
      <c r="R440" s="5"/>
      <c r="S440" s="5"/>
      <c r="T440" s="5" t="s">
        <v>494</v>
      </c>
      <c r="U440" s="5"/>
      <c r="V440" s="5"/>
    </row>
    <row r="441" spans="1:22">
      <c r="A441" s="26" t="s">
        <v>0</v>
      </c>
      <c r="B441" s="11">
        <v>46048</v>
      </c>
      <c r="C441" s="11" t="s">
        <v>41</v>
      </c>
      <c r="D441" s="26">
        <v>319</v>
      </c>
      <c r="E441" s="10" t="s">
        <v>95</v>
      </c>
      <c r="F441" s="26" t="s">
        <v>124</v>
      </c>
      <c r="G441" s="225" t="s">
        <v>132</v>
      </c>
      <c r="H441" s="39">
        <v>3903.33</v>
      </c>
      <c r="I441" s="216">
        <v>46084</v>
      </c>
      <c r="J441" s="7" t="s">
        <v>91</v>
      </c>
      <c r="K441" s="5" t="s">
        <v>73</v>
      </c>
      <c r="L441" s="11">
        <v>46050</v>
      </c>
      <c r="M441" s="26" t="str">
        <f>IF(Tabela4[[#This Row],[RECOMPRADO]]="RECEBIDO","LIQUIDADO",IF(O441="LIQUIDADO","LIQUIDADO",IF(I441&lt;$I$5,"VENCIDO","A VENCER")))</f>
        <v>LIQUIDADO</v>
      </c>
      <c r="N441" s="212" t="str">
        <f>IF(Tabela4[[#This Row],[STATUS]]="LIQUIDADO","",Tabela4[[#This Row],[VCTO]]-$I$5)</f>
        <v/>
      </c>
      <c r="O441" s="11" t="s">
        <v>86</v>
      </c>
      <c r="P441" s="11"/>
      <c r="Q441" s="26"/>
      <c r="R441" s="26"/>
      <c r="S441" s="26"/>
      <c r="T441" s="26" t="s">
        <v>494</v>
      </c>
      <c r="U441" s="26"/>
      <c r="V441" s="5"/>
    </row>
    <row r="442" spans="1:22">
      <c r="A442" s="26" t="s">
        <v>0</v>
      </c>
      <c r="B442" s="11">
        <v>46048</v>
      </c>
      <c r="C442" s="11" t="s">
        <v>41</v>
      </c>
      <c r="D442" s="26">
        <v>319</v>
      </c>
      <c r="E442" s="10" t="s">
        <v>96</v>
      </c>
      <c r="F442" s="26" t="s">
        <v>124</v>
      </c>
      <c r="G442" s="225" t="s">
        <v>132</v>
      </c>
      <c r="H442" s="39">
        <v>3903.33</v>
      </c>
      <c r="I442" s="216">
        <v>46091</v>
      </c>
      <c r="J442" s="7" t="s">
        <v>91</v>
      </c>
      <c r="K442" s="5" t="s">
        <v>73</v>
      </c>
      <c r="L442" s="6">
        <v>46050</v>
      </c>
      <c r="M442" s="5" t="str">
        <f>IF(Tabela4[[#This Row],[RECOMPRADO]]="RECEBIDO","LIQUIDADO",IF(O442="LIQUIDADO","LIQUIDADO",IF(I442&lt;$I$5,"VENCIDO","A VENCER")))</f>
        <v>LIQUIDADO</v>
      </c>
      <c r="N442" s="211" t="str">
        <f>IF(Tabela4[[#This Row],[STATUS]]="LIQUIDADO","",Tabela4[[#This Row],[VCTO]]-$I$5)</f>
        <v/>
      </c>
      <c r="O442" s="11" t="s">
        <v>86</v>
      </c>
      <c r="P442" s="6"/>
      <c r="Q442" s="5"/>
      <c r="R442" s="5"/>
      <c r="S442" s="5"/>
      <c r="T442" s="5" t="s">
        <v>597</v>
      </c>
      <c r="U442" s="5"/>
      <c r="V442" s="5"/>
    </row>
    <row r="443" spans="1:22">
      <c r="A443" s="26" t="s">
        <v>0</v>
      </c>
      <c r="B443" s="11">
        <v>46049</v>
      </c>
      <c r="C443" s="11" t="s">
        <v>43</v>
      </c>
      <c r="D443" s="26">
        <v>320</v>
      </c>
      <c r="E443" s="10" t="s">
        <v>92</v>
      </c>
      <c r="F443" s="26" t="s">
        <v>257</v>
      </c>
      <c r="G443" s="225">
        <v>843474200137</v>
      </c>
      <c r="H443" s="39">
        <v>6786</v>
      </c>
      <c r="I443" s="216">
        <v>46049</v>
      </c>
      <c r="J443" s="7" t="s">
        <v>125</v>
      </c>
      <c r="K443" s="5" t="s">
        <v>0</v>
      </c>
      <c r="L443" s="11">
        <v>46049</v>
      </c>
      <c r="M443" s="26" t="str">
        <f>IF(Tabela4[[#This Row],[RECOMPRADO]]="RECEBIDO","LIQUIDADO",IF(O443="LIQUIDADO","LIQUIDADO",IF(I443&lt;$I$5,"VENCIDO","A VENCER")))</f>
        <v>LIQUIDADO</v>
      </c>
      <c r="N443" s="212" t="str">
        <f>IF(Tabela4[[#This Row],[STATUS]]="LIQUIDADO","",Tabela4[[#This Row],[VCTO]]-$I$5)</f>
        <v/>
      </c>
      <c r="O443" s="6" t="s">
        <v>86</v>
      </c>
      <c r="P443" s="11"/>
      <c r="Q443" s="26"/>
      <c r="R443" s="26"/>
      <c r="S443" s="26"/>
      <c r="T443" s="26"/>
      <c r="U443" s="26"/>
      <c r="V443" s="5"/>
    </row>
    <row r="444" spans="1:22">
      <c r="A444" s="26" t="s">
        <v>0</v>
      </c>
      <c r="B444" s="11">
        <v>46049</v>
      </c>
      <c r="C444" s="11" t="s">
        <v>41</v>
      </c>
      <c r="D444" s="26">
        <v>320</v>
      </c>
      <c r="E444" s="10" t="s">
        <v>92</v>
      </c>
      <c r="F444" s="26" t="s">
        <v>257</v>
      </c>
      <c r="G444" s="225">
        <v>843474200137</v>
      </c>
      <c r="H444" s="39">
        <v>809.17</v>
      </c>
      <c r="I444" s="216">
        <v>46049</v>
      </c>
      <c r="J444" s="7" t="s">
        <v>125</v>
      </c>
      <c r="K444" s="5" t="s">
        <v>0</v>
      </c>
      <c r="L444" s="11">
        <v>46049</v>
      </c>
      <c r="M444" s="26" t="str">
        <f>IF(Tabela4[[#This Row],[RECOMPRADO]]="RECEBIDO","LIQUIDADO",IF(O444="LIQUIDADO","LIQUIDADO",IF(I444&lt;$I$5,"VENCIDO","A VENCER")))</f>
        <v>LIQUIDADO</v>
      </c>
      <c r="N444" s="212" t="str">
        <f>IF(Tabela4[[#This Row],[STATUS]]="LIQUIDADO","",Tabela4[[#This Row],[VCTO]]-$I$5)</f>
        <v/>
      </c>
      <c r="O444" s="219" t="s">
        <v>86</v>
      </c>
      <c r="P444" s="11"/>
      <c r="Q444" s="26"/>
      <c r="R444" s="26"/>
      <c r="S444" s="26"/>
      <c r="T444" s="26"/>
      <c r="U444" s="26"/>
      <c r="V444" s="5"/>
    </row>
    <row r="445" spans="1:22">
      <c r="A445" s="26" t="s">
        <v>0</v>
      </c>
      <c r="B445" s="11">
        <v>46049</v>
      </c>
      <c r="C445" s="11" t="s">
        <v>41</v>
      </c>
      <c r="D445" s="26">
        <v>321</v>
      </c>
      <c r="E445" s="10" t="s">
        <v>92</v>
      </c>
      <c r="F445" s="26" t="s">
        <v>18</v>
      </c>
      <c r="G445" s="225">
        <v>25967193000185</v>
      </c>
      <c r="H445" s="39">
        <v>690</v>
      </c>
      <c r="I445" s="216">
        <v>46077</v>
      </c>
      <c r="J445" s="7" t="s">
        <v>91</v>
      </c>
      <c r="K445" s="5" t="s">
        <v>77</v>
      </c>
      <c r="L445" s="6">
        <v>46052</v>
      </c>
      <c r="M445" s="5" t="str">
        <f>IF(Tabela4[[#This Row],[RECOMPRADO]]="RECEBIDO","LIQUIDADO",IF(O445="LIQUIDADO","LIQUIDADO",IF(I445&lt;$I$5,"VENCIDO","A VENCER")))</f>
        <v>LIQUIDADO</v>
      </c>
      <c r="N445" s="211" t="str">
        <f>IF(Tabela4[[#This Row],[STATUS]]="LIQUIDADO","",Tabela4[[#This Row],[VCTO]]-$I$5)</f>
        <v/>
      </c>
      <c r="O445" s="224" t="s">
        <v>86</v>
      </c>
      <c r="P445" s="6"/>
      <c r="Q445" s="5"/>
      <c r="R445" s="5"/>
      <c r="S445" s="5"/>
      <c r="T445" s="5"/>
      <c r="U445" s="5"/>
      <c r="V445" s="5"/>
    </row>
    <row r="446" spans="1:22">
      <c r="A446" s="26" t="s">
        <v>0</v>
      </c>
      <c r="B446" s="11">
        <v>46049</v>
      </c>
      <c r="C446" s="11" t="s">
        <v>41</v>
      </c>
      <c r="D446" s="26">
        <v>321</v>
      </c>
      <c r="E446" s="10" t="s">
        <v>95</v>
      </c>
      <c r="F446" s="26" t="s">
        <v>18</v>
      </c>
      <c r="G446" s="225">
        <v>25967193000185</v>
      </c>
      <c r="H446" s="39">
        <v>690</v>
      </c>
      <c r="I446" s="216">
        <v>46084</v>
      </c>
      <c r="J446" s="7" t="s">
        <v>91</v>
      </c>
      <c r="K446" s="5" t="s">
        <v>77</v>
      </c>
      <c r="L446" s="11">
        <v>46052</v>
      </c>
      <c r="M446" s="26" t="str">
        <f>IF(Tabela4[[#This Row],[RECOMPRADO]]="RECEBIDO","LIQUIDADO",IF(O446="LIQUIDADO","LIQUIDADO",IF(I446&lt;$I$5,"VENCIDO","A VENCER")))</f>
        <v>LIQUIDADO</v>
      </c>
      <c r="N446" s="212" t="str">
        <f>IF(Tabela4[[#This Row],[STATUS]]="LIQUIDADO","",Tabela4[[#This Row],[VCTO]]-$I$5)</f>
        <v/>
      </c>
      <c r="O446" s="224" t="s">
        <v>86</v>
      </c>
      <c r="P446" s="11"/>
      <c r="Q446" s="26"/>
      <c r="R446" s="26"/>
      <c r="S446" s="26" t="s">
        <v>151</v>
      </c>
      <c r="T446" s="26"/>
      <c r="U446" s="26"/>
      <c r="V446" s="5"/>
    </row>
    <row r="447" spans="1:22">
      <c r="A447" s="26" t="s">
        <v>0</v>
      </c>
      <c r="B447" s="11">
        <v>46049</v>
      </c>
      <c r="C447" s="11" t="s">
        <v>41</v>
      </c>
      <c r="D447" s="26">
        <v>321</v>
      </c>
      <c r="E447" s="10" t="s">
        <v>96</v>
      </c>
      <c r="F447" s="26" t="s">
        <v>18</v>
      </c>
      <c r="G447" s="225">
        <v>25967193000185</v>
      </c>
      <c r="H447" s="39">
        <v>690</v>
      </c>
      <c r="I447" s="216">
        <v>46091</v>
      </c>
      <c r="J447" s="7" t="s">
        <v>91</v>
      </c>
      <c r="K447" s="5" t="s">
        <v>77</v>
      </c>
      <c r="L447" s="11">
        <v>46052</v>
      </c>
      <c r="M447" s="26" t="str">
        <f>IF(Tabela4[[#This Row],[RECOMPRADO]]="RECEBIDO","LIQUIDADO",IF(O447="LIQUIDADO","LIQUIDADO",IF(I447&lt;$I$5,"VENCIDO","A VENCER")))</f>
        <v>LIQUIDADO</v>
      </c>
      <c r="N447" s="212" t="str">
        <f>IF(Tabela4[[#This Row],[STATUS]]="LIQUIDADO","",Tabela4[[#This Row],[VCTO]]-$I$5)</f>
        <v/>
      </c>
      <c r="O447" s="11" t="s">
        <v>86</v>
      </c>
      <c r="P447" s="11"/>
      <c r="Q447" s="26"/>
      <c r="R447" s="26"/>
      <c r="S447" s="26"/>
      <c r="T447" s="26"/>
      <c r="U447" s="26"/>
      <c r="V447" s="5"/>
    </row>
    <row r="448" spans="1:22">
      <c r="A448" s="26" t="s">
        <v>0</v>
      </c>
      <c r="B448" s="11">
        <v>46049</v>
      </c>
      <c r="C448" s="11" t="s">
        <v>43</v>
      </c>
      <c r="D448" s="26">
        <v>321</v>
      </c>
      <c r="E448" s="10" t="s">
        <v>92</v>
      </c>
      <c r="F448" s="26" t="s">
        <v>18</v>
      </c>
      <c r="G448" s="220">
        <v>25967193000185</v>
      </c>
      <c r="H448" s="39">
        <v>690</v>
      </c>
      <c r="I448" s="216">
        <v>46077</v>
      </c>
      <c r="J448" s="7" t="s">
        <v>91</v>
      </c>
      <c r="K448" s="5" t="s">
        <v>77</v>
      </c>
      <c r="L448" s="6">
        <v>46052</v>
      </c>
      <c r="M448" s="5" t="str">
        <f>IF(Tabela4[[#This Row],[RECOMPRADO]]="RECEBIDO","LIQUIDADO",IF(O448="LIQUIDADO","LIQUIDADO",IF(I448&lt;$I$5,"VENCIDO","A VENCER")))</f>
        <v>LIQUIDADO</v>
      </c>
      <c r="N448" s="211" t="str">
        <f>IF(Tabela4[[#This Row],[STATUS]]="LIQUIDADO","",Tabela4[[#This Row],[VCTO]]-$I$5)</f>
        <v/>
      </c>
      <c r="O448" s="11" t="s">
        <v>86</v>
      </c>
      <c r="P448" s="6"/>
      <c r="Q448" s="5"/>
      <c r="R448" s="5"/>
      <c r="S448" s="5"/>
      <c r="T448" s="5"/>
      <c r="U448" s="5"/>
      <c r="V448" s="5"/>
    </row>
    <row r="449" spans="1:22">
      <c r="A449" s="26" t="s">
        <v>0</v>
      </c>
      <c r="B449" s="11">
        <v>46049</v>
      </c>
      <c r="C449" s="11" t="s">
        <v>43</v>
      </c>
      <c r="D449" s="26">
        <v>321</v>
      </c>
      <c r="E449" s="10" t="s">
        <v>95</v>
      </c>
      <c r="F449" s="26" t="s">
        <v>18</v>
      </c>
      <c r="G449" s="220">
        <v>25967193000185</v>
      </c>
      <c r="H449" s="39">
        <v>690</v>
      </c>
      <c r="I449" s="216">
        <v>46084</v>
      </c>
      <c r="J449" s="7" t="s">
        <v>91</v>
      </c>
      <c r="K449" s="5" t="s">
        <v>77</v>
      </c>
      <c r="L449" s="6">
        <v>46052</v>
      </c>
      <c r="M449" s="5" t="str">
        <f>IF(Tabela4[[#This Row],[RECOMPRADO]]="RECEBIDO","LIQUIDADO",IF(O449="LIQUIDADO","LIQUIDADO",IF(I449&lt;$I$5,"VENCIDO","A VENCER")))</f>
        <v>LIQUIDADO</v>
      </c>
      <c r="N449" s="211" t="str">
        <f>IF(Tabela4[[#This Row],[STATUS]]="LIQUIDADO","",Tabela4[[#This Row],[VCTO]]-$I$5)</f>
        <v/>
      </c>
      <c r="O449" s="6" t="s">
        <v>86</v>
      </c>
      <c r="P449" s="6"/>
      <c r="Q449" s="5"/>
      <c r="R449" s="5"/>
      <c r="S449" s="5"/>
      <c r="T449" s="5"/>
      <c r="U449" s="5"/>
      <c r="V449" s="5"/>
    </row>
    <row r="450" spans="1:22">
      <c r="A450" s="26" t="s">
        <v>0</v>
      </c>
      <c r="B450" s="11">
        <v>46049</v>
      </c>
      <c r="C450" s="11" t="s">
        <v>43</v>
      </c>
      <c r="D450" s="26">
        <v>321</v>
      </c>
      <c r="E450" s="10" t="s">
        <v>96</v>
      </c>
      <c r="F450" s="26" t="s">
        <v>18</v>
      </c>
      <c r="G450" s="225">
        <v>25967193000185</v>
      </c>
      <c r="H450" s="39">
        <v>690</v>
      </c>
      <c r="I450" s="216">
        <v>46091</v>
      </c>
      <c r="J450" s="7" t="s">
        <v>91</v>
      </c>
      <c r="K450" s="5" t="s">
        <v>77</v>
      </c>
      <c r="L450" s="11">
        <v>46052</v>
      </c>
      <c r="M450" s="26" t="str">
        <f>IF(Tabela4[[#This Row],[RECOMPRADO]]="RECEBIDO","LIQUIDADO",IF(O450="LIQUIDADO","LIQUIDADO",IF(I450&lt;$I$5,"VENCIDO","A VENCER")))</f>
        <v>LIQUIDADO</v>
      </c>
      <c r="N450" s="212" t="str">
        <f>IF(Tabela4[[#This Row],[STATUS]]="LIQUIDADO","",Tabela4[[#This Row],[VCTO]]-$I$5)</f>
        <v/>
      </c>
      <c r="O450" s="219" t="s">
        <v>86</v>
      </c>
      <c r="P450" s="11"/>
      <c r="Q450" s="26"/>
      <c r="R450" s="26"/>
      <c r="S450" s="26"/>
      <c r="T450" s="26"/>
      <c r="U450" s="26"/>
      <c r="V450" s="5"/>
    </row>
    <row r="451" spans="1:22">
      <c r="A451" s="26" t="s">
        <v>0</v>
      </c>
      <c r="B451" s="11">
        <v>46049</v>
      </c>
      <c r="C451" s="11" t="s">
        <v>41</v>
      </c>
      <c r="D451" s="26">
        <v>322</v>
      </c>
      <c r="E451" s="10" t="s">
        <v>92</v>
      </c>
      <c r="F451" s="26" t="s">
        <v>258</v>
      </c>
      <c r="G451" s="220">
        <v>20891953000102</v>
      </c>
      <c r="H451" s="39">
        <v>2355</v>
      </c>
      <c r="I451" s="216">
        <v>46094</v>
      </c>
      <c r="J451" s="7" t="s">
        <v>91</v>
      </c>
      <c r="K451" s="5" t="s">
        <v>77</v>
      </c>
      <c r="L451" s="6">
        <v>46052</v>
      </c>
      <c r="M451" s="5" t="str">
        <f>IF(Tabela4[[#This Row],[RECOMPRADO]]="RECEBIDO","LIQUIDADO",IF(O451="LIQUIDADO","LIQUIDADO",IF(I451&lt;$I$5,"VENCIDO","A VENCER")))</f>
        <v>LIQUIDADO</v>
      </c>
      <c r="N451" s="211" t="str">
        <f>IF(Tabela4[[#This Row],[STATUS]]="LIQUIDADO","",Tabela4[[#This Row],[VCTO]]-$I$5)</f>
        <v/>
      </c>
      <c r="O451" s="224" t="s">
        <v>86</v>
      </c>
      <c r="P451" s="6"/>
      <c r="Q451" s="5"/>
      <c r="R451" s="5"/>
      <c r="S451" s="5"/>
      <c r="T451" s="5"/>
      <c r="U451" s="5"/>
      <c r="V451" s="5"/>
    </row>
    <row r="452" spans="1:22">
      <c r="A452" s="26" t="s">
        <v>0</v>
      </c>
      <c r="B452" s="11">
        <v>46049</v>
      </c>
      <c r="C452" s="11" t="s">
        <v>43</v>
      </c>
      <c r="D452" s="26">
        <v>322</v>
      </c>
      <c r="E452" s="10" t="s">
        <v>92</v>
      </c>
      <c r="F452" s="26" t="s">
        <v>258</v>
      </c>
      <c r="G452" s="220">
        <v>20891953000102</v>
      </c>
      <c r="H452" s="39">
        <v>2355</v>
      </c>
      <c r="I452" s="216">
        <v>46094</v>
      </c>
      <c r="J452" s="7" t="s">
        <v>91</v>
      </c>
      <c r="K452" s="5" t="s">
        <v>77</v>
      </c>
      <c r="L452" s="6">
        <v>46052</v>
      </c>
      <c r="M452" s="5" t="str">
        <f>IF(Tabela4[[#This Row],[RECOMPRADO]]="RECEBIDO","LIQUIDADO",IF(O452="LIQUIDADO","LIQUIDADO",IF(I452&lt;$I$5,"VENCIDO","A VENCER")))</f>
        <v>LIQUIDADO</v>
      </c>
      <c r="N452" s="211" t="str">
        <f>IF(Tabela4[[#This Row],[STATUS]]="LIQUIDADO","",Tabela4[[#This Row],[VCTO]]-$I$5)</f>
        <v/>
      </c>
      <c r="O452" s="224" t="s">
        <v>86</v>
      </c>
      <c r="P452" s="6"/>
      <c r="Q452" s="5"/>
      <c r="R452" s="5"/>
      <c r="S452" s="5"/>
      <c r="T452" s="5"/>
      <c r="U452" s="5"/>
      <c r="V452" s="5"/>
    </row>
    <row r="453" spans="1:22">
      <c r="A453" s="26" t="s">
        <v>7</v>
      </c>
      <c r="B453" s="11">
        <v>46049</v>
      </c>
      <c r="C453" s="11" t="s">
        <v>41</v>
      </c>
      <c r="D453" s="26">
        <v>4293</v>
      </c>
      <c r="E453" s="10" t="s">
        <v>92</v>
      </c>
      <c r="F453" s="26" t="s">
        <v>259</v>
      </c>
      <c r="G453" s="239">
        <v>49601346000215</v>
      </c>
      <c r="H453" s="39">
        <v>2825.19</v>
      </c>
      <c r="I453" s="216">
        <v>46080</v>
      </c>
      <c r="J453" s="7" t="s">
        <v>91</v>
      </c>
      <c r="K453" s="5" t="s">
        <v>73</v>
      </c>
      <c r="L453" s="6">
        <v>46050</v>
      </c>
      <c r="M453" s="5" t="str">
        <f>IF(Tabela4[[#This Row],[RECOMPRADO]]="RECEBIDO","LIQUIDADO",IF(O453="LIQUIDADO","LIQUIDADO",IF(I453&lt;$I$5,"VENCIDO","A VENCER")))</f>
        <v>LIQUIDADO</v>
      </c>
      <c r="N453" s="211" t="str">
        <f>IF(Tabela4[[#This Row],[STATUS]]="LIQUIDADO","",Tabela4[[#This Row],[VCTO]]-$I$5)</f>
        <v/>
      </c>
      <c r="O453" s="11" t="s">
        <v>86</v>
      </c>
      <c r="P453" s="6"/>
      <c r="Q453" s="5"/>
      <c r="R453" s="5"/>
      <c r="S453" s="5"/>
      <c r="T453" s="5" t="s">
        <v>559</v>
      </c>
      <c r="U453" s="5"/>
      <c r="V453" s="5"/>
    </row>
    <row r="454" spans="1:22">
      <c r="A454" s="26" t="s">
        <v>7</v>
      </c>
      <c r="B454" s="11">
        <v>46049</v>
      </c>
      <c r="C454" s="11" t="s">
        <v>41</v>
      </c>
      <c r="D454" s="26">
        <v>4293</v>
      </c>
      <c r="E454" s="10" t="s">
        <v>95</v>
      </c>
      <c r="F454" s="26" t="s">
        <v>259</v>
      </c>
      <c r="G454" s="215">
        <v>49601346000215</v>
      </c>
      <c r="H454" s="39">
        <v>2825.19</v>
      </c>
      <c r="I454" s="216">
        <v>46095</v>
      </c>
      <c r="J454" s="7" t="s">
        <v>91</v>
      </c>
      <c r="K454" s="5" t="s">
        <v>73</v>
      </c>
      <c r="L454" s="11">
        <v>46050</v>
      </c>
      <c r="M454" s="26" t="str">
        <f ca="1">IF(Tabela4[[#This Row],[RECOMPRADO]]="RECEBIDO","LIQUIDADO",IF(O454="LIQUIDADO","LIQUIDADO",IF(I454&lt;$I$5,"VENCIDO","A VENCER")))</f>
        <v>VENCIDO</v>
      </c>
      <c r="N454" s="212">
        <f ca="1">IF(Tabela4[[#This Row],[STATUS]]="LIQUIDADO","",Tabela4[[#This Row],[VCTO]]-$I$5)</f>
        <v>-3</v>
      </c>
      <c r="O454" s="11"/>
      <c r="P454" s="11"/>
      <c r="Q454" s="26"/>
      <c r="R454" s="26"/>
      <c r="S454" s="26"/>
      <c r="T454" s="26" t="s">
        <v>642</v>
      </c>
      <c r="U454" s="26"/>
      <c r="V454" s="5"/>
    </row>
    <row r="455" spans="1:22">
      <c r="A455" s="26" t="s">
        <v>7</v>
      </c>
      <c r="B455" s="11">
        <v>46049</v>
      </c>
      <c r="C455" s="11" t="s">
        <v>41</v>
      </c>
      <c r="D455" s="26">
        <v>4293</v>
      </c>
      <c r="E455" s="10" t="s">
        <v>96</v>
      </c>
      <c r="F455" s="26" t="s">
        <v>259</v>
      </c>
      <c r="G455" s="239">
        <v>49601346000215</v>
      </c>
      <c r="H455" s="39">
        <v>2825.19</v>
      </c>
      <c r="I455" s="216">
        <v>46110</v>
      </c>
      <c r="J455" s="7" t="s">
        <v>91</v>
      </c>
      <c r="K455" s="5" t="s">
        <v>73</v>
      </c>
      <c r="L455" s="6">
        <v>46050</v>
      </c>
      <c r="M455" s="5" t="str">
        <f ca="1">IF(Tabela4[[#This Row],[RECOMPRADO]]="RECEBIDO","LIQUIDADO",IF(O455="LIQUIDADO","LIQUIDADO",IF(I455&lt;$I$5,"VENCIDO","A VENCER")))</f>
        <v>A VENCER</v>
      </c>
      <c r="N455" s="211">
        <f ca="1">IF(Tabela4[[#This Row],[STATUS]]="LIQUIDADO","",Tabela4[[#This Row],[VCTO]]-$I$5)</f>
        <v>12</v>
      </c>
      <c r="O455" s="6"/>
      <c r="P455" s="6"/>
      <c r="Q455" s="5"/>
      <c r="R455" s="5"/>
      <c r="S455" s="5"/>
      <c r="T455" s="5"/>
      <c r="U455" s="5"/>
      <c r="V455" s="5"/>
    </row>
    <row r="456" spans="1:22">
      <c r="A456" s="26" t="s">
        <v>0</v>
      </c>
      <c r="B456" s="11">
        <v>46050</v>
      </c>
      <c r="C456" s="11" t="s">
        <v>41</v>
      </c>
      <c r="D456" s="26">
        <v>323</v>
      </c>
      <c r="E456" s="10" t="s">
        <v>92</v>
      </c>
      <c r="F456" s="26" t="s">
        <v>118</v>
      </c>
      <c r="G456" s="225" t="s">
        <v>127</v>
      </c>
      <c r="H456" s="39">
        <v>27610</v>
      </c>
      <c r="I456" s="216">
        <v>46082</v>
      </c>
      <c r="J456" s="7" t="s">
        <v>91</v>
      </c>
      <c r="K456" s="5" t="s">
        <v>72</v>
      </c>
      <c r="L456" s="11">
        <v>46051</v>
      </c>
      <c r="M456" s="26" t="str">
        <f>IF(Tabela4[[#This Row],[RECOMPRADO]]="RECEBIDO","LIQUIDADO",IF(O456="LIQUIDADO","LIQUIDADO",IF(I456&lt;$I$5,"VENCIDO","A VENCER")))</f>
        <v>LIQUIDADO</v>
      </c>
      <c r="N456" s="212" t="str">
        <f>IF(Tabela4[[#This Row],[STATUS]]="LIQUIDADO","",Tabela4[[#This Row],[VCTO]]-$I$5)</f>
        <v/>
      </c>
      <c r="O456" s="219" t="s">
        <v>86</v>
      </c>
      <c r="P456" s="11"/>
      <c r="Q456" s="26"/>
      <c r="R456" s="26"/>
      <c r="S456" s="26"/>
      <c r="T456" s="26"/>
      <c r="U456" s="26"/>
      <c r="V456" s="5"/>
    </row>
    <row r="457" spans="1:22">
      <c r="A457" s="26" t="s">
        <v>0</v>
      </c>
      <c r="B457" s="11">
        <v>46050</v>
      </c>
      <c r="C457" s="11" t="s">
        <v>41</v>
      </c>
      <c r="D457" s="26">
        <v>324</v>
      </c>
      <c r="E457" s="10" t="s">
        <v>92</v>
      </c>
      <c r="F457" s="26" t="s">
        <v>260</v>
      </c>
      <c r="G457" s="225">
        <v>48785341000146</v>
      </c>
      <c r="H457" s="39">
        <v>6566.67</v>
      </c>
      <c r="I457" s="216">
        <v>46084</v>
      </c>
      <c r="J457" s="7" t="s">
        <v>91</v>
      </c>
      <c r="K457" s="5" t="s">
        <v>73</v>
      </c>
      <c r="L457" s="11">
        <v>46050</v>
      </c>
      <c r="M457" s="26" t="str">
        <f>IF(Tabela4[[#This Row],[RECOMPRADO]]="RECEBIDO","LIQUIDADO",IF(O457="LIQUIDADO","LIQUIDADO",IF(I457&lt;$I$5,"VENCIDO","A VENCER")))</f>
        <v>LIQUIDADO</v>
      </c>
      <c r="N457" s="212" t="str">
        <f>IF(Tabela4[[#This Row],[STATUS]]="LIQUIDADO","",Tabela4[[#This Row],[VCTO]]-$I$5)</f>
        <v/>
      </c>
      <c r="O457" s="224" t="s">
        <v>86</v>
      </c>
      <c r="P457" s="11"/>
      <c r="Q457" s="26"/>
      <c r="R457" s="26"/>
      <c r="S457" s="26"/>
      <c r="T457" s="26"/>
      <c r="U457" s="26"/>
      <c r="V457" s="5"/>
    </row>
    <row r="458" spans="1:22">
      <c r="A458" s="26" t="s">
        <v>0</v>
      </c>
      <c r="B458" s="11">
        <v>46050</v>
      </c>
      <c r="C458" s="11" t="s">
        <v>41</v>
      </c>
      <c r="D458" s="26">
        <v>324</v>
      </c>
      <c r="E458" s="10" t="s">
        <v>95</v>
      </c>
      <c r="F458" s="26" t="s">
        <v>260</v>
      </c>
      <c r="G458" s="225">
        <v>48785341000146</v>
      </c>
      <c r="H458" s="39">
        <v>6566.97</v>
      </c>
      <c r="I458" s="216">
        <v>46091</v>
      </c>
      <c r="J458" s="7" t="s">
        <v>91</v>
      </c>
      <c r="K458" s="5" t="s">
        <v>73</v>
      </c>
      <c r="L458" s="11">
        <v>46050</v>
      </c>
      <c r="M458" s="26" t="str">
        <f>IF(Tabela4[[#This Row],[RECOMPRADO]]="RECEBIDO","LIQUIDADO",IF(O458="LIQUIDADO","LIQUIDADO",IF(I458&lt;$I$5,"VENCIDO","A VENCER")))</f>
        <v>LIQUIDADO</v>
      </c>
      <c r="N458" s="212" t="str">
        <f>IF(Tabela4[[#This Row],[STATUS]]="LIQUIDADO","",Tabela4[[#This Row],[VCTO]]-$I$5)</f>
        <v/>
      </c>
      <c r="O458" s="224" t="s">
        <v>86</v>
      </c>
      <c r="P458" s="11"/>
      <c r="Q458" s="26"/>
      <c r="R458" s="26"/>
      <c r="S458" s="26"/>
      <c r="T458" s="26"/>
      <c r="U458" s="26"/>
      <c r="V458" s="5"/>
    </row>
    <row r="459" spans="1:22">
      <c r="A459" s="26" t="s">
        <v>0</v>
      </c>
      <c r="B459" s="11">
        <v>46050</v>
      </c>
      <c r="C459" s="11" t="s">
        <v>41</v>
      </c>
      <c r="D459" s="26">
        <v>324</v>
      </c>
      <c r="E459" s="10" t="s">
        <v>96</v>
      </c>
      <c r="F459" s="26" t="s">
        <v>260</v>
      </c>
      <c r="G459" s="225">
        <v>48785341000146</v>
      </c>
      <c r="H459" s="39">
        <v>6566.97</v>
      </c>
      <c r="I459" s="216">
        <v>46098</v>
      </c>
      <c r="J459" s="7" t="s">
        <v>91</v>
      </c>
      <c r="K459" s="5" t="s">
        <v>73</v>
      </c>
      <c r="L459" s="11">
        <v>46050</v>
      </c>
      <c r="M459" s="26" t="str">
        <f ca="1">IF(Tabela4[[#This Row],[RECOMPRADO]]="RECEBIDO","LIQUIDADO",IF(O459="LIQUIDADO","LIQUIDADO",IF(I459&lt;$I$5,"VENCIDO","A VENCER")))</f>
        <v>A VENCER</v>
      </c>
      <c r="N459" s="212">
        <f ca="1">IF(Tabela4[[#This Row],[STATUS]]="LIQUIDADO","",Tabela4[[#This Row],[VCTO]]-$I$5)</f>
        <v>0</v>
      </c>
      <c r="O459" s="11"/>
      <c r="P459" s="11"/>
      <c r="Q459" s="26"/>
      <c r="R459" s="26"/>
      <c r="S459" s="26"/>
      <c r="T459" s="26"/>
      <c r="U459" s="26"/>
      <c r="V459" s="5"/>
    </row>
    <row r="460" spans="1:22">
      <c r="A460" s="26" t="s">
        <v>0</v>
      </c>
      <c r="B460" s="11">
        <v>46050</v>
      </c>
      <c r="C460" s="11" t="s">
        <v>41</v>
      </c>
      <c r="D460" s="26">
        <v>325</v>
      </c>
      <c r="E460" s="10" t="s">
        <v>92</v>
      </c>
      <c r="F460" s="26" t="s">
        <v>9</v>
      </c>
      <c r="G460" s="220">
        <v>3301594300147</v>
      </c>
      <c r="H460" s="39">
        <v>4540</v>
      </c>
      <c r="I460" s="216">
        <v>46084</v>
      </c>
      <c r="J460" s="7" t="s">
        <v>91</v>
      </c>
      <c r="K460" s="5" t="s">
        <v>81</v>
      </c>
      <c r="L460" s="6">
        <v>46050</v>
      </c>
      <c r="M460" s="5" t="str">
        <f>IF(Tabela4[[#This Row],[RECOMPRADO]]="RECEBIDO","LIQUIDADO",IF(O460="LIQUIDADO","LIQUIDADO",IF(I460&lt;$I$5,"VENCIDO","A VENCER")))</f>
        <v>LIQUIDADO</v>
      </c>
      <c r="N460" s="211" t="str">
        <f>IF(Tabela4[[#This Row],[STATUS]]="LIQUIDADO","",Tabela4[[#This Row],[VCTO]]-$I$5)</f>
        <v/>
      </c>
      <c r="O460" s="11" t="s">
        <v>86</v>
      </c>
      <c r="P460" s="6"/>
      <c r="Q460" s="5"/>
      <c r="R460" s="5"/>
      <c r="S460" s="5"/>
      <c r="T460" s="5" t="s">
        <v>539</v>
      </c>
      <c r="U460" s="5"/>
      <c r="V460" s="5"/>
    </row>
    <row r="461" spans="1:22">
      <c r="A461" s="26" t="s">
        <v>0</v>
      </c>
      <c r="B461" s="11">
        <v>46050</v>
      </c>
      <c r="C461" s="11" t="s">
        <v>41</v>
      </c>
      <c r="D461" s="26">
        <v>325</v>
      </c>
      <c r="E461" s="10" t="s">
        <v>95</v>
      </c>
      <c r="F461" s="26" t="s">
        <v>9</v>
      </c>
      <c r="G461" s="225">
        <v>3301594300147</v>
      </c>
      <c r="H461" s="39">
        <v>4540</v>
      </c>
      <c r="I461" s="216">
        <v>46091</v>
      </c>
      <c r="J461" s="7" t="s">
        <v>91</v>
      </c>
      <c r="K461" s="5" t="s">
        <v>81</v>
      </c>
      <c r="L461" s="11">
        <v>46050</v>
      </c>
      <c r="M461" s="26" t="str">
        <f>IF(Tabela4[[#This Row],[RECOMPRADO]]="RECEBIDO","LIQUIDADO",IF(O461="LIQUIDADO","LIQUIDADO",IF(I461&lt;$I$5,"VENCIDO","A VENCER")))</f>
        <v>LIQUIDADO</v>
      </c>
      <c r="N461" s="212" t="str">
        <f>IF(Tabela4[[#This Row],[STATUS]]="LIQUIDADO","",Tabela4[[#This Row],[VCTO]]-$I$5)</f>
        <v/>
      </c>
      <c r="O461" s="6" t="s">
        <v>86</v>
      </c>
      <c r="P461" s="11"/>
      <c r="Q461" s="26"/>
      <c r="R461" s="26"/>
      <c r="S461" s="26"/>
      <c r="T461" s="26" t="s">
        <v>629</v>
      </c>
      <c r="U461" s="26"/>
      <c r="V461" s="5"/>
    </row>
    <row r="462" spans="1:22">
      <c r="A462" s="26" t="s">
        <v>0</v>
      </c>
      <c r="B462" s="11">
        <v>46050</v>
      </c>
      <c r="C462" s="11" t="s">
        <v>41</v>
      </c>
      <c r="D462" s="26">
        <v>325</v>
      </c>
      <c r="E462" s="10" t="s">
        <v>96</v>
      </c>
      <c r="F462" s="26" t="s">
        <v>9</v>
      </c>
      <c r="G462" s="225">
        <v>3301594300147</v>
      </c>
      <c r="H462" s="39">
        <v>4540</v>
      </c>
      <c r="I462" s="216">
        <v>46098</v>
      </c>
      <c r="J462" s="7" t="s">
        <v>91</v>
      </c>
      <c r="K462" s="5" t="s">
        <v>81</v>
      </c>
      <c r="L462" s="11">
        <v>46050</v>
      </c>
      <c r="M462" s="26" t="str">
        <f ca="1">IF(Tabela4[[#This Row],[RECOMPRADO]]="RECEBIDO","LIQUIDADO",IF(O462="LIQUIDADO","LIQUIDADO",IF(I462&lt;$I$5,"VENCIDO","A VENCER")))</f>
        <v>A VENCER</v>
      </c>
      <c r="N462" s="212">
        <f ca="1">IF(Tabela4[[#This Row],[STATUS]]="LIQUIDADO","",Tabela4[[#This Row],[VCTO]]-$I$5)</f>
        <v>0</v>
      </c>
      <c r="O462" s="219"/>
      <c r="P462" s="11"/>
      <c r="Q462" s="26"/>
      <c r="R462" s="26"/>
      <c r="S462" s="26"/>
      <c r="T462" s="26"/>
      <c r="U462" s="26"/>
      <c r="V462" s="5"/>
    </row>
    <row r="463" spans="1:22">
      <c r="A463" s="26" t="s">
        <v>0</v>
      </c>
      <c r="B463" s="11">
        <v>46050</v>
      </c>
      <c r="C463" s="11" t="s">
        <v>41</v>
      </c>
      <c r="D463" s="26">
        <v>326</v>
      </c>
      <c r="E463" s="10" t="s">
        <v>92</v>
      </c>
      <c r="F463" s="26" t="s">
        <v>261</v>
      </c>
      <c r="G463" s="225">
        <v>42203674000133</v>
      </c>
      <c r="H463" s="39">
        <v>2773.2</v>
      </c>
      <c r="I463" s="216">
        <v>46085</v>
      </c>
      <c r="J463" s="7" t="s">
        <v>91</v>
      </c>
      <c r="K463" s="5" t="s">
        <v>73</v>
      </c>
      <c r="L463" s="11">
        <v>46050</v>
      </c>
      <c r="M463" s="26" t="str">
        <f>IF(Tabela4[[#This Row],[RECOMPRADO]]="RECEBIDO","LIQUIDADO",IF(O463="LIQUIDADO","LIQUIDADO",IF(I463&lt;$I$5,"VENCIDO","A VENCER")))</f>
        <v>LIQUIDADO</v>
      </c>
      <c r="N463" s="212" t="str">
        <f>IF(Tabela4[[#This Row],[STATUS]]="LIQUIDADO","",Tabela4[[#This Row],[VCTO]]-$I$5)</f>
        <v/>
      </c>
      <c r="O463" s="224" t="s">
        <v>86</v>
      </c>
      <c r="P463" s="11"/>
      <c r="Q463" s="26"/>
      <c r="R463" s="26"/>
      <c r="S463" s="26"/>
      <c r="T463" s="26"/>
      <c r="U463" s="26"/>
      <c r="V463" s="5"/>
    </row>
    <row r="464" spans="1:22">
      <c r="A464" s="26" t="s">
        <v>0</v>
      </c>
      <c r="B464" s="11">
        <v>46050</v>
      </c>
      <c r="C464" s="11" t="s">
        <v>41</v>
      </c>
      <c r="D464" s="26">
        <v>326</v>
      </c>
      <c r="E464" s="10" t="s">
        <v>95</v>
      </c>
      <c r="F464" s="26" t="s">
        <v>261</v>
      </c>
      <c r="G464" s="225">
        <v>42203674000133</v>
      </c>
      <c r="H464" s="39">
        <v>2773.2</v>
      </c>
      <c r="I464" s="216">
        <v>46092</v>
      </c>
      <c r="J464" s="7" t="s">
        <v>91</v>
      </c>
      <c r="K464" s="5" t="s">
        <v>73</v>
      </c>
      <c r="L464" s="11">
        <v>46050</v>
      </c>
      <c r="M464" s="26" t="str">
        <f>IF(Tabela4[[#This Row],[RECOMPRADO]]="RECEBIDO","LIQUIDADO",IF(O464="LIQUIDADO","LIQUIDADO",IF(I464&lt;$I$5,"VENCIDO","A VENCER")))</f>
        <v>LIQUIDADO</v>
      </c>
      <c r="N464" s="212" t="str">
        <f>IF(Tabela4[[#This Row],[STATUS]]="LIQUIDADO","",Tabela4[[#This Row],[VCTO]]-$I$5)</f>
        <v/>
      </c>
      <c r="O464" s="224" t="s">
        <v>86</v>
      </c>
      <c r="P464" s="11"/>
      <c r="Q464" s="26"/>
      <c r="R464" s="26"/>
      <c r="S464" s="26"/>
      <c r="T464" s="26"/>
      <c r="U464" s="26"/>
      <c r="V464" s="5"/>
    </row>
    <row r="465" spans="1:22">
      <c r="A465" s="26" t="s">
        <v>0</v>
      </c>
      <c r="B465" s="11">
        <v>46050</v>
      </c>
      <c r="C465" s="11" t="s">
        <v>41</v>
      </c>
      <c r="D465" s="26">
        <v>326</v>
      </c>
      <c r="E465" s="10" t="s">
        <v>96</v>
      </c>
      <c r="F465" s="26" t="s">
        <v>261</v>
      </c>
      <c r="G465" s="220">
        <v>42203674000133</v>
      </c>
      <c r="H465" s="39">
        <v>2773.2</v>
      </c>
      <c r="I465" s="216">
        <v>46099</v>
      </c>
      <c r="J465" s="7" t="s">
        <v>91</v>
      </c>
      <c r="K465" s="5" t="s">
        <v>73</v>
      </c>
      <c r="L465" s="6">
        <v>46050</v>
      </c>
      <c r="M465" s="5" t="str">
        <f ca="1">IF(Tabela4[[#This Row],[RECOMPRADO]]="RECEBIDO","LIQUIDADO",IF(O465="LIQUIDADO","LIQUIDADO",IF(I465&lt;$I$5,"VENCIDO","A VENCER")))</f>
        <v>A VENCER</v>
      </c>
      <c r="N465" s="211">
        <f ca="1">IF(Tabela4[[#This Row],[STATUS]]="LIQUIDADO","",Tabela4[[#This Row],[VCTO]]-$I$5)</f>
        <v>1</v>
      </c>
      <c r="O465" s="11"/>
      <c r="P465" s="6"/>
      <c r="Q465" s="5"/>
      <c r="R465" s="5"/>
      <c r="S465" s="5"/>
      <c r="T465" s="5"/>
      <c r="U465" s="5"/>
      <c r="V465" s="5"/>
    </row>
    <row r="466" spans="1:22">
      <c r="A466" s="26" t="s">
        <v>0</v>
      </c>
      <c r="B466" s="11">
        <v>46050</v>
      </c>
      <c r="C466" s="11" t="s">
        <v>41</v>
      </c>
      <c r="D466" s="26">
        <v>327</v>
      </c>
      <c r="E466" s="10" t="s">
        <v>92</v>
      </c>
      <c r="F466" s="26" t="s">
        <v>12</v>
      </c>
      <c r="G466" s="220">
        <v>58246059000144</v>
      </c>
      <c r="H466" s="39">
        <v>1915.85</v>
      </c>
      <c r="I466" s="216">
        <v>46087</v>
      </c>
      <c r="J466" s="7" t="s">
        <v>91</v>
      </c>
      <c r="K466" s="5" t="s">
        <v>381</v>
      </c>
      <c r="L466" s="6">
        <v>46052</v>
      </c>
      <c r="M466" s="5" t="str">
        <f>IF(Tabela4[[#This Row],[RECOMPRADO]]="RECEBIDO","LIQUIDADO",IF(O466="LIQUIDADO","LIQUIDADO",IF(I466&lt;$I$5,"VENCIDO","A VENCER")))</f>
        <v>LIQUIDADO</v>
      </c>
      <c r="N466" s="211" t="str">
        <f>IF(Tabela4[[#This Row],[STATUS]]="LIQUIDADO","",Tabela4[[#This Row],[VCTO]]-$I$5)</f>
        <v/>
      </c>
      <c r="O466" s="11" t="s">
        <v>86</v>
      </c>
      <c r="P466" s="6"/>
      <c r="Q466" s="5"/>
      <c r="R466" s="5"/>
      <c r="S466" s="5"/>
      <c r="T466" s="5" t="s">
        <v>598</v>
      </c>
      <c r="U466" s="5"/>
      <c r="V466" s="5"/>
    </row>
    <row r="467" spans="1:22">
      <c r="A467" s="26" t="s">
        <v>0</v>
      </c>
      <c r="B467" s="11">
        <v>46050</v>
      </c>
      <c r="C467" s="11" t="s">
        <v>41</v>
      </c>
      <c r="D467" s="26">
        <v>327</v>
      </c>
      <c r="E467" s="10" t="s">
        <v>95</v>
      </c>
      <c r="F467" s="26" t="s">
        <v>12</v>
      </c>
      <c r="G467" s="220">
        <v>58246059000144</v>
      </c>
      <c r="H467" s="39">
        <v>1561.67</v>
      </c>
      <c r="I467" s="216">
        <v>46102</v>
      </c>
      <c r="J467" s="7" t="s">
        <v>91</v>
      </c>
      <c r="K467" s="5" t="s">
        <v>381</v>
      </c>
      <c r="L467" s="6">
        <v>46052</v>
      </c>
      <c r="M467" s="5" t="str">
        <f ca="1">IF(Tabela4[[#This Row],[RECOMPRADO]]="RECEBIDO","LIQUIDADO",IF(O467="LIQUIDADO","LIQUIDADO",IF(I467&lt;$I$5,"VENCIDO","A VENCER")))</f>
        <v>A VENCER</v>
      </c>
      <c r="N467" s="211">
        <f ca="1">IF(Tabela4[[#This Row],[STATUS]]="LIQUIDADO","",Tabela4[[#This Row],[VCTO]]-$I$5)</f>
        <v>4</v>
      </c>
      <c r="O467" s="6"/>
      <c r="P467" s="6"/>
      <c r="Q467" s="5"/>
      <c r="R467" s="5"/>
      <c r="S467" s="5"/>
      <c r="T467" s="5"/>
      <c r="U467" s="5"/>
      <c r="V467" s="5"/>
    </row>
    <row r="468" spans="1:22">
      <c r="A468" s="26" t="s">
        <v>0</v>
      </c>
      <c r="B468" s="11">
        <v>46050</v>
      </c>
      <c r="C468" s="11" t="s">
        <v>41</v>
      </c>
      <c r="D468" s="26">
        <v>327</v>
      </c>
      <c r="E468" s="10" t="s">
        <v>96</v>
      </c>
      <c r="F468" s="26" t="s">
        <v>12</v>
      </c>
      <c r="G468" s="220">
        <v>58246059000144</v>
      </c>
      <c r="H468" s="39">
        <v>1561.67</v>
      </c>
      <c r="I468" s="216">
        <v>46117</v>
      </c>
      <c r="J468" s="7" t="s">
        <v>91</v>
      </c>
      <c r="K468" s="5" t="s">
        <v>381</v>
      </c>
      <c r="L468" s="6">
        <v>46052</v>
      </c>
      <c r="M468" s="5" t="str">
        <f ca="1">IF(Tabela4[[#This Row],[RECOMPRADO]]="RECEBIDO","LIQUIDADO",IF(O468="LIQUIDADO","LIQUIDADO",IF(I468&lt;$I$5,"VENCIDO","A VENCER")))</f>
        <v>A VENCER</v>
      </c>
      <c r="N468" s="211">
        <f ca="1">IF(Tabela4[[#This Row],[STATUS]]="LIQUIDADO","",Tabela4[[#This Row],[VCTO]]-$I$5)</f>
        <v>19</v>
      </c>
      <c r="O468" s="219"/>
      <c r="P468" s="6"/>
      <c r="Q468" s="5"/>
      <c r="R468" s="5"/>
      <c r="S468" s="5"/>
      <c r="T468" s="5"/>
      <c r="U468" s="5"/>
      <c r="V468" s="5"/>
    </row>
    <row r="469" spans="1:22">
      <c r="A469" s="26" t="s">
        <v>0</v>
      </c>
      <c r="B469" s="11">
        <v>46050</v>
      </c>
      <c r="C469" s="11" t="s">
        <v>41</v>
      </c>
      <c r="D469" s="26">
        <v>328</v>
      </c>
      <c r="E469" s="10" t="s">
        <v>92</v>
      </c>
      <c r="F469" s="26" t="s">
        <v>263</v>
      </c>
      <c r="G469" s="220">
        <v>12716331000100</v>
      </c>
      <c r="H469" s="39">
        <v>2177.5</v>
      </c>
      <c r="I469" s="216">
        <v>46087</v>
      </c>
      <c r="J469" s="7" t="s">
        <v>91</v>
      </c>
      <c r="K469" s="5" t="s">
        <v>73</v>
      </c>
      <c r="L469" s="6">
        <v>46051</v>
      </c>
      <c r="M469" s="5" t="str">
        <f>IF(Tabela4[[#This Row],[RECOMPRADO]]="RECEBIDO","LIQUIDADO",IF(O469="LIQUIDADO","LIQUIDADO",IF(I469&lt;$I$5,"VENCIDO","A VENCER")))</f>
        <v>LIQUIDADO</v>
      </c>
      <c r="N469" s="211" t="str">
        <f>IF(Tabela4[[#This Row],[STATUS]]="LIQUIDADO","",Tabela4[[#This Row],[VCTO]]-$I$5)</f>
        <v/>
      </c>
      <c r="O469" s="224" t="s">
        <v>86</v>
      </c>
      <c r="P469" s="6"/>
      <c r="Q469" s="5"/>
      <c r="R469" s="5"/>
      <c r="S469" s="5"/>
      <c r="T469" s="5"/>
      <c r="U469" s="5"/>
      <c r="V469" s="5"/>
    </row>
    <row r="470" spans="1:22">
      <c r="A470" s="26" t="s">
        <v>0</v>
      </c>
      <c r="B470" s="11">
        <v>46050</v>
      </c>
      <c r="C470" s="11" t="s">
        <v>41</v>
      </c>
      <c r="D470" s="26">
        <v>328</v>
      </c>
      <c r="E470" s="10" t="s">
        <v>95</v>
      </c>
      <c r="F470" s="26" t="s">
        <v>263</v>
      </c>
      <c r="G470" s="225">
        <v>12716331000100</v>
      </c>
      <c r="H470" s="39">
        <v>2177.5</v>
      </c>
      <c r="I470" s="216">
        <v>46117</v>
      </c>
      <c r="J470" s="7" t="s">
        <v>91</v>
      </c>
      <c r="K470" s="5" t="s">
        <v>73</v>
      </c>
      <c r="L470" s="11">
        <v>46051</v>
      </c>
      <c r="M470" s="26" t="str">
        <f ca="1">IF(Tabela4[[#This Row],[RECOMPRADO]]="RECEBIDO","LIQUIDADO",IF(O470="LIQUIDADO","LIQUIDADO",IF(I470&lt;$I$5,"VENCIDO","A VENCER")))</f>
        <v>A VENCER</v>
      </c>
      <c r="N470" s="212">
        <f ca="1">IF(Tabela4[[#This Row],[STATUS]]="LIQUIDADO","",Tabela4[[#This Row],[VCTO]]-$I$5)</f>
        <v>19</v>
      </c>
      <c r="O470" s="224"/>
      <c r="P470" s="11"/>
      <c r="Q470" s="26"/>
      <c r="R470" s="26"/>
      <c r="S470" s="26"/>
      <c r="T470" s="26"/>
      <c r="U470" s="26"/>
      <c r="V470" s="5"/>
    </row>
    <row r="471" spans="1:22">
      <c r="A471" s="26" t="s">
        <v>0</v>
      </c>
      <c r="B471" s="11">
        <v>46050</v>
      </c>
      <c r="C471" s="11" t="s">
        <v>41</v>
      </c>
      <c r="D471" s="26">
        <v>329</v>
      </c>
      <c r="E471" s="10" t="s">
        <v>92</v>
      </c>
      <c r="F471" s="26" t="s">
        <v>264</v>
      </c>
      <c r="G471" s="225" t="s">
        <v>357</v>
      </c>
      <c r="H471" s="39">
        <v>3171.28</v>
      </c>
      <c r="I471" s="216">
        <v>46084</v>
      </c>
      <c r="J471" s="7" t="s">
        <v>91</v>
      </c>
      <c r="K471" s="5" t="s">
        <v>73</v>
      </c>
      <c r="L471" s="11">
        <v>46051</v>
      </c>
      <c r="M471" s="26" t="str">
        <f>IF(Tabela4[[#This Row],[RECOMPRADO]]="RECEBIDO","LIQUIDADO",IF(O471="LIQUIDADO","LIQUIDADO",IF(I471&lt;$I$5,"VENCIDO","A VENCER")))</f>
        <v>LIQUIDADO</v>
      </c>
      <c r="N471" s="212" t="str">
        <f>IF(Tabela4[[#This Row],[STATUS]]="LIQUIDADO","",Tabela4[[#This Row],[VCTO]]-$I$5)</f>
        <v/>
      </c>
      <c r="O471" s="11" t="s">
        <v>86</v>
      </c>
      <c r="P471" s="11"/>
      <c r="Q471" s="26"/>
      <c r="R471" s="26"/>
      <c r="S471" s="26"/>
      <c r="T471" s="26"/>
      <c r="U471" s="26"/>
      <c r="V471" s="5"/>
    </row>
    <row r="472" spans="1:22">
      <c r="A472" s="26" t="s">
        <v>0</v>
      </c>
      <c r="B472" s="11">
        <v>46050</v>
      </c>
      <c r="C472" s="11" t="s">
        <v>41</v>
      </c>
      <c r="D472" s="26">
        <v>329</v>
      </c>
      <c r="E472" s="10" t="s">
        <v>95</v>
      </c>
      <c r="F472" s="26" t="s">
        <v>264</v>
      </c>
      <c r="G472" s="225" t="s">
        <v>357</v>
      </c>
      <c r="H472" s="39">
        <v>2585</v>
      </c>
      <c r="I472" s="216">
        <v>46091</v>
      </c>
      <c r="J472" s="7" t="s">
        <v>91</v>
      </c>
      <c r="K472" s="5" t="s">
        <v>73</v>
      </c>
      <c r="L472" s="11">
        <v>46051</v>
      </c>
      <c r="M472" s="26" t="str">
        <f>IF(Tabela4[[#This Row],[RECOMPRADO]]="RECEBIDO","LIQUIDADO",IF(O472="LIQUIDADO","LIQUIDADO",IF(I472&lt;$I$5,"VENCIDO","A VENCER")))</f>
        <v>LIQUIDADO</v>
      </c>
      <c r="N472" s="212" t="str">
        <f>IF(Tabela4[[#This Row],[STATUS]]="LIQUIDADO","",Tabela4[[#This Row],[VCTO]]-$I$5)</f>
        <v/>
      </c>
      <c r="O472" s="11" t="s">
        <v>86</v>
      </c>
      <c r="P472" s="11"/>
      <c r="Q472" s="26"/>
      <c r="R472" s="26"/>
      <c r="S472" s="26"/>
      <c r="T472" s="26"/>
      <c r="U472" s="26"/>
      <c r="V472" s="5"/>
    </row>
    <row r="473" spans="1:22">
      <c r="A473" s="26" t="s">
        <v>0</v>
      </c>
      <c r="B473" s="11">
        <v>46050</v>
      </c>
      <c r="C473" s="11" t="s">
        <v>41</v>
      </c>
      <c r="D473" s="26">
        <v>329</v>
      </c>
      <c r="E473" s="10" t="s">
        <v>96</v>
      </c>
      <c r="F473" s="26" t="s">
        <v>264</v>
      </c>
      <c r="G473" s="225" t="s">
        <v>357</v>
      </c>
      <c r="H473" s="39">
        <v>2585</v>
      </c>
      <c r="I473" s="216">
        <v>46098</v>
      </c>
      <c r="J473" s="7" t="s">
        <v>91</v>
      </c>
      <c r="K473" s="5" t="s">
        <v>73</v>
      </c>
      <c r="L473" s="11">
        <v>46051</v>
      </c>
      <c r="M473" s="26" t="str">
        <f ca="1">IF(Tabela4[[#This Row],[RECOMPRADO]]="RECEBIDO","LIQUIDADO",IF(O473="LIQUIDADO","LIQUIDADO",IF(I473&lt;$I$5,"VENCIDO","A VENCER")))</f>
        <v>A VENCER</v>
      </c>
      <c r="N473" s="212">
        <f ca="1">IF(Tabela4[[#This Row],[STATUS]]="LIQUIDADO","",Tabela4[[#This Row],[VCTO]]-$I$5)</f>
        <v>0</v>
      </c>
      <c r="O473" s="6"/>
      <c r="P473" s="11"/>
      <c r="Q473" s="26"/>
      <c r="R473" s="26"/>
      <c r="S473" s="26"/>
      <c r="T473" s="26"/>
      <c r="U473" s="26"/>
      <c r="V473" s="5"/>
    </row>
    <row r="474" spans="1:22">
      <c r="A474" s="26" t="s">
        <v>7</v>
      </c>
      <c r="B474" s="11">
        <v>46050</v>
      </c>
      <c r="C474" s="11" t="s">
        <v>41</v>
      </c>
      <c r="D474" s="26">
        <v>4294</v>
      </c>
      <c r="E474" s="10" t="s">
        <v>92</v>
      </c>
      <c r="F474" s="26" t="s">
        <v>262</v>
      </c>
      <c r="G474" s="239">
        <v>38486966000153</v>
      </c>
      <c r="H474" s="39">
        <v>24975</v>
      </c>
      <c r="I474" s="216">
        <v>46095</v>
      </c>
      <c r="J474" s="7" t="s">
        <v>91</v>
      </c>
      <c r="K474" s="5" t="s">
        <v>76</v>
      </c>
      <c r="L474" s="6">
        <v>46052</v>
      </c>
      <c r="M474" s="5" t="str">
        <f>IF(Tabela4[[#This Row],[RECOMPRADO]]="RECEBIDO","LIQUIDADO",IF(O474="LIQUIDADO","LIQUIDADO",IF(I474&lt;$I$5,"VENCIDO","A VENCER")))</f>
        <v>LIQUIDADO</v>
      </c>
      <c r="N474" s="211" t="str">
        <f>IF(Tabela4[[#This Row],[STATUS]]="LIQUIDADO","",Tabela4[[#This Row],[VCTO]]-$I$5)</f>
        <v/>
      </c>
      <c r="O474" s="219" t="s">
        <v>86</v>
      </c>
      <c r="P474" s="6"/>
      <c r="Q474" s="5"/>
      <c r="R474" s="5"/>
      <c r="S474" s="5"/>
      <c r="T474" s="5" t="s">
        <v>643</v>
      </c>
      <c r="U474" s="5"/>
      <c r="V474" s="5"/>
    </row>
    <row r="475" spans="1:22">
      <c r="A475" s="26" t="s">
        <v>7</v>
      </c>
      <c r="B475" s="11">
        <v>46050</v>
      </c>
      <c r="C475" s="11" t="s">
        <v>41</v>
      </c>
      <c r="D475" s="26">
        <v>4294</v>
      </c>
      <c r="E475" s="10" t="s">
        <v>95</v>
      </c>
      <c r="F475" s="26" t="s">
        <v>262</v>
      </c>
      <c r="G475" s="239">
        <v>38486966000153</v>
      </c>
      <c r="H475" s="39">
        <v>24975</v>
      </c>
      <c r="I475" s="216">
        <v>46125</v>
      </c>
      <c r="J475" s="7" t="s">
        <v>91</v>
      </c>
      <c r="K475" s="5" t="s">
        <v>76</v>
      </c>
      <c r="L475" s="6">
        <v>46052</v>
      </c>
      <c r="M475" s="5" t="str">
        <f ca="1">IF(Tabela4[[#This Row],[RECOMPRADO]]="RECEBIDO","LIQUIDADO",IF(O475="LIQUIDADO","LIQUIDADO",IF(I475&lt;$I$5,"VENCIDO","A VENCER")))</f>
        <v>A VENCER</v>
      </c>
      <c r="N475" s="211">
        <f ca="1">IF(Tabela4[[#This Row],[STATUS]]="LIQUIDADO","",Tabela4[[#This Row],[VCTO]]-$I$5)</f>
        <v>27</v>
      </c>
      <c r="O475" s="224"/>
      <c r="P475" s="6"/>
      <c r="Q475" s="5"/>
      <c r="R475" s="5"/>
      <c r="S475" s="5"/>
      <c r="T475" s="5" t="s">
        <v>394</v>
      </c>
      <c r="U475" s="5"/>
      <c r="V475" s="5"/>
    </row>
    <row r="476" spans="1:22" s="297" customFormat="1">
      <c r="A476" s="287" t="s">
        <v>0</v>
      </c>
      <c r="B476" s="288">
        <v>46051</v>
      </c>
      <c r="C476" s="288" t="s">
        <v>41</v>
      </c>
      <c r="D476" s="287">
        <v>331</v>
      </c>
      <c r="E476" s="289" t="s">
        <v>92</v>
      </c>
      <c r="F476" s="287" t="s">
        <v>265</v>
      </c>
      <c r="G476" s="290">
        <v>50384738000178</v>
      </c>
      <c r="H476" s="291">
        <v>3930.47</v>
      </c>
      <c r="I476" s="292">
        <v>46087</v>
      </c>
      <c r="J476" s="293" t="s">
        <v>91</v>
      </c>
      <c r="K476" s="294" t="s">
        <v>73</v>
      </c>
      <c r="L476" s="295">
        <v>46051</v>
      </c>
      <c r="M476" s="294" t="str">
        <f>IF(Tabela4[[#This Row],[RECOMPRADO]]="RECEBIDO","LIQUIDADO",IF(O476="LIQUIDADO","LIQUIDADO",IF(I476&lt;$I$5,"VENCIDO","A VENCER")))</f>
        <v>LIQUIDADO</v>
      </c>
      <c r="N476" s="296" t="str">
        <f>IF(Tabela4[[#This Row],[STATUS]]="LIQUIDADO","",Tabela4[[#This Row],[VCTO]]-$I$5)</f>
        <v/>
      </c>
      <c r="O476" s="288" t="s">
        <v>86</v>
      </c>
      <c r="P476" s="295" t="s">
        <v>534</v>
      </c>
      <c r="Q476" s="294"/>
      <c r="R476" s="294"/>
      <c r="S476" s="294"/>
      <c r="T476" s="294" t="s">
        <v>514</v>
      </c>
      <c r="U476" s="294"/>
      <c r="V476" s="5"/>
    </row>
    <row r="477" spans="1:22" s="297" customFormat="1">
      <c r="A477" s="287" t="s">
        <v>0</v>
      </c>
      <c r="B477" s="288">
        <v>46051</v>
      </c>
      <c r="C477" s="288" t="s">
        <v>41</v>
      </c>
      <c r="D477" s="287">
        <v>331</v>
      </c>
      <c r="E477" s="289" t="s">
        <v>95</v>
      </c>
      <c r="F477" s="287" t="s">
        <v>265</v>
      </c>
      <c r="G477" s="298">
        <v>50384738000178</v>
      </c>
      <c r="H477" s="291">
        <v>3930.47</v>
      </c>
      <c r="I477" s="292">
        <v>46094</v>
      </c>
      <c r="J477" s="293" t="s">
        <v>91</v>
      </c>
      <c r="K477" s="294" t="s">
        <v>73</v>
      </c>
      <c r="L477" s="288">
        <v>46051</v>
      </c>
      <c r="M477" s="287" t="str">
        <f>IF(Tabela4[[#This Row],[RECOMPRADO]]="RECEBIDO","LIQUIDADO",IF(O477="LIQUIDADO","LIQUIDADO",IF(I477&lt;$I$5,"VENCIDO","A VENCER")))</f>
        <v>LIQUIDADO</v>
      </c>
      <c r="N477" s="299" t="str">
        <f>IF(Tabela4[[#This Row],[STATUS]]="LIQUIDADO","",Tabela4[[#This Row],[VCTO]]-$I$5)</f>
        <v/>
      </c>
      <c r="O477" s="288" t="s">
        <v>86</v>
      </c>
      <c r="P477" s="295" t="s">
        <v>534</v>
      </c>
      <c r="Q477" s="287"/>
      <c r="R477" s="287"/>
      <c r="S477" s="287"/>
      <c r="T477" s="287" t="s">
        <v>514</v>
      </c>
      <c r="U477" s="287"/>
      <c r="V477" s="5"/>
    </row>
    <row r="478" spans="1:22" s="297" customFormat="1">
      <c r="A478" s="287" t="s">
        <v>0</v>
      </c>
      <c r="B478" s="288">
        <v>46051</v>
      </c>
      <c r="C478" s="295" t="s">
        <v>41</v>
      </c>
      <c r="D478" s="287">
        <v>331</v>
      </c>
      <c r="E478" s="289" t="s">
        <v>96</v>
      </c>
      <c r="F478" s="287" t="s">
        <v>265</v>
      </c>
      <c r="G478" s="290">
        <v>50384738000178</v>
      </c>
      <c r="H478" s="291">
        <v>3930.47</v>
      </c>
      <c r="I478" s="292">
        <v>46101</v>
      </c>
      <c r="J478" s="293" t="s">
        <v>91</v>
      </c>
      <c r="K478" s="294" t="s">
        <v>73</v>
      </c>
      <c r="L478" s="295">
        <v>46051</v>
      </c>
      <c r="M478" s="294" t="str">
        <f>IF(Tabela4[[#This Row],[RECOMPRADO]]="RECEBIDO","LIQUIDADO",IF(O478="LIQUIDADO","LIQUIDADO",IF(I478&lt;$I$5,"VENCIDO","A VENCER")))</f>
        <v>LIQUIDADO</v>
      </c>
      <c r="N478" s="296" t="str">
        <f>IF(Tabela4[[#This Row],[STATUS]]="LIQUIDADO","",Tabela4[[#This Row],[VCTO]]-$I$5)</f>
        <v/>
      </c>
      <c r="O478" s="288" t="s">
        <v>86</v>
      </c>
      <c r="P478" s="295" t="s">
        <v>534</v>
      </c>
      <c r="Q478" s="294"/>
      <c r="R478" s="294"/>
      <c r="S478" s="294"/>
      <c r="T478" s="294" t="s">
        <v>514</v>
      </c>
      <c r="U478" s="294"/>
      <c r="V478" s="5"/>
    </row>
    <row r="479" spans="1:22">
      <c r="A479" s="26" t="s">
        <v>0</v>
      </c>
      <c r="B479" s="11">
        <v>46051</v>
      </c>
      <c r="C479" s="6" t="s">
        <v>41</v>
      </c>
      <c r="D479" s="26">
        <v>332</v>
      </c>
      <c r="E479" s="10" t="s">
        <v>92</v>
      </c>
      <c r="F479" s="26" t="s">
        <v>267</v>
      </c>
      <c r="G479" s="225">
        <v>20891953000102</v>
      </c>
      <c r="H479" s="39">
        <v>5770</v>
      </c>
      <c r="I479" s="216">
        <v>46097</v>
      </c>
      <c r="J479" s="36" t="s">
        <v>91</v>
      </c>
      <c r="K479" s="26" t="s">
        <v>77</v>
      </c>
      <c r="L479" s="11">
        <v>46052</v>
      </c>
      <c r="M479" s="26" t="str">
        <f ca="1">IF(Tabela4[[#This Row],[RECOMPRADO]]="RECEBIDO","LIQUIDADO",IF(O479="LIQUIDADO","LIQUIDADO",IF(I479&lt;$I$5,"VENCIDO","A VENCER")))</f>
        <v>VENCIDO</v>
      </c>
      <c r="N479" s="212">
        <f ca="1">IF(Tabela4[[#This Row],[STATUS]]="LIQUIDADO","",Tabela4[[#This Row],[VCTO]]-$I$5)</f>
        <v>-1</v>
      </c>
      <c r="O479" s="6"/>
      <c r="P479" s="11"/>
      <c r="Q479" s="26"/>
      <c r="R479" s="26"/>
      <c r="S479" s="26"/>
      <c r="T479" s="5"/>
      <c r="U479" s="5"/>
      <c r="V479" s="5"/>
    </row>
    <row r="480" spans="1:22">
      <c r="A480" s="26" t="s">
        <v>0</v>
      </c>
      <c r="B480" s="11">
        <v>46051</v>
      </c>
      <c r="C480" s="6" t="s">
        <v>43</v>
      </c>
      <c r="D480" s="26">
        <v>332</v>
      </c>
      <c r="E480" s="10" t="s">
        <v>92</v>
      </c>
      <c r="F480" s="26" t="s">
        <v>267</v>
      </c>
      <c r="G480" s="220">
        <v>20891953000102</v>
      </c>
      <c r="H480" s="39">
        <v>5770</v>
      </c>
      <c r="I480" s="216">
        <v>46097</v>
      </c>
      <c r="J480" s="36" t="s">
        <v>91</v>
      </c>
      <c r="K480" s="26" t="s">
        <v>77</v>
      </c>
      <c r="L480" s="6">
        <v>46052</v>
      </c>
      <c r="M480" s="5" t="str">
        <f ca="1">IF(Tabela4[[#This Row],[RECOMPRADO]]="RECEBIDO","LIQUIDADO",IF(O480="LIQUIDADO","LIQUIDADO",IF(I480&lt;$I$5,"VENCIDO","A VENCER")))</f>
        <v>VENCIDO</v>
      </c>
      <c r="N480" s="211">
        <f ca="1">IF(Tabela4[[#This Row],[STATUS]]="LIQUIDADO","",Tabela4[[#This Row],[VCTO]]-$I$5)</f>
        <v>-1</v>
      </c>
      <c r="O480" s="219"/>
      <c r="P480" s="6"/>
      <c r="Q480" s="5"/>
      <c r="R480" s="5"/>
      <c r="S480" s="5"/>
      <c r="T480" s="5"/>
      <c r="U480" s="5"/>
      <c r="V480" s="5"/>
    </row>
    <row r="481" spans="1:22">
      <c r="A481" s="26" t="s">
        <v>0</v>
      </c>
      <c r="B481" s="11">
        <v>46051</v>
      </c>
      <c r="C481" s="6" t="s">
        <v>43</v>
      </c>
      <c r="D481" s="26">
        <v>334</v>
      </c>
      <c r="E481" s="10" t="s">
        <v>92</v>
      </c>
      <c r="F481" s="26" t="s">
        <v>269</v>
      </c>
      <c r="G481" s="220">
        <v>4422140000109</v>
      </c>
      <c r="H481" s="39">
        <v>2431.33</v>
      </c>
      <c r="I481" s="216">
        <v>46086</v>
      </c>
      <c r="J481" s="36" t="s">
        <v>91</v>
      </c>
      <c r="K481" s="26" t="s">
        <v>77</v>
      </c>
      <c r="L481" s="6">
        <v>46052</v>
      </c>
      <c r="M481" s="5" t="str">
        <f>IF(Tabela4[[#This Row],[RECOMPRADO]]="RECEBIDO","LIQUIDADO",IF(O481="LIQUIDADO","LIQUIDADO",IF(I481&lt;$I$5,"VENCIDO","A VENCER")))</f>
        <v>LIQUIDADO</v>
      </c>
      <c r="N481" s="211" t="str">
        <f>IF(Tabela4[[#This Row],[STATUS]]="LIQUIDADO","",Tabela4[[#This Row],[VCTO]]-$I$5)</f>
        <v/>
      </c>
      <c r="O481" s="224" t="s">
        <v>86</v>
      </c>
      <c r="P481" s="6"/>
      <c r="Q481" s="5"/>
      <c r="R481" s="5"/>
      <c r="S481" s="5"/>
      <c r="T481" s="5"/>
      <c r="U481" s="5"/>
      <c r="V481" s="5"/>
    </row>
    <row r="482" spans="1:22">
      <c r="A482" s="26" t="s">
        <v>0</v>
      </c>
      <c r="B482" s="11">
        <v>46051</v>
      </c>
      <c r="C482" s="6" t="s">
        <v>43</v>
      </c>
      <c r="D482" s="26">
        <v>334</v>
      </c>
      <c r="E482" s="10" t="s">
        <v>95</v>
      </c>
      <c r="F482" s="26" t="s">
        <v>269</v>
      </c>
      <c r="G482" s="225">
        <v>4422140000109</v>
      </c>
      <c r="H482" s="39">
        <v>2431.33</v>
      </c>
      <c r="I482" s="216">
        <v>46093</v>
      </c>
      <c r="J482" s="36" t="s">
        <v>91</v>
      </c>
      <c r="K482" s="26" t="s">
        <v>77</v>
      </c>
      <c r="L482" s="11">
        <v>46052</v>
      </c>
      <c r="M482" s="26" t="str">
        <f>IF(Tabela4[[#This Row],[RECOMPRADO]]="RECEBIDO","LIQUIDADO",IF(O482="LIQUIDADO","LIQUIDADO",IF(I482&lt;$I$5,"VENCIDO","A VENCER")))</f>
        <v>LIQUIDADO</v>
      </c>
      <c r="N482" s="212" t="str">
        <f>IF(Tabela4[[#This Row],[STATUS]]="LIQUIDADO","",Tabela4[[#This Row],[VCTO]]-$I$5)</f>
        <v/>
      </c>
      <c r="O482" s="224" t="s">
        <v>86</v>
      </c>
      <c r="P482" s="11"/>
      <c r="Q482" s="26"/>
      <c r="R482" s="26"/>
      <c r="S482" s="26"/>
      <c r="T482" s="26"/>
      <c r="U482" s="26"/>
      <c r="V482" s="5"/>
    </row>
    <row r="483" spans="1:22">
      <c r="A483" s="26" t="s">
        <v>0</v>
      </c>
      <c r="B483" s="11">
        <v>46051</v>
      </c>
      <c r="C483" s="6" t="s">
        <v>43</v>
      </c>
      <c r="D483" s="26">
        <v>334</v>
      </c>
      <c r="E483" s="10" t="s">
        <v>96</v>
      </c>
      <c r="F483" s="26" t="s">
        <v>269</v>
      </c>
      <c r="G483" s="220">
        <v>4422140000109</v>
      </c>
      <c r="H483" s="39">
        <v>2431.33</v>
      </c>
      <c r="I483" s="216">
        <v>46100</v>
      </c>
      <c r="J483" s="36" t="s">
        <v>91</v>
      </c>
      <c r="K483" s="26" t="s">
        <v>77</v>
      </c>
      <c r="L483" s="6">
        <v>46052</v>
      </c>
      <c r="M483" s="5" t="str">
        <f ca="1">IF(Tabela4[[#This Row],[RECOMPRADO]]="RECEBIDO","LIQUIDADO",IF(O483="LIQUIDADO","LIQUIDADO",IF(I483&lt;$I$5,"VENCIDO","A VENCER")))</f>
        <v>A VENCER</v>
      </c>
      <c r="N483" s="211">
        <f ca="1">IF(Tabela4[[#This Row],[STATUS]]="LIQUIDADO","",Tabela4[[#This Row],[VCTO]]-$I$5)</f>
        <v>2</v>
      </c>
      <c r="O483" s="11"/>
      <c r="P483" s="6"/>
      <c r="Q483" s="5"/>
      <c r="R483" s="5"/>
      <c r="S483" s="5"/>
      <c r="T483" s="5"/>
      <c r="U483" s="5"/>
      <c r="V483" s="5"/>
    </row>
    <row r="484" spans="1:22">
      <c r="A484" s="26" t="s">
        <v>0</v>
      </c>
      <c r="B484" s="11">
        <v>46051</v>
      </c>
      <c r="C484" s="6" t="s">
        <v>41</v>
      </c>
      <c r="D484" s="26">
        <v>334</v>
      </c>
      <c r="E484" s="10" t="s">
        <v>92</v>
      </c>
      <c r="F484" s="26" t="s">
        <v>269</v>
      </c>
      <c r="G484" s="225">
        <v>4422140000109</v>
      </c>
      <c r="H484" s="39">
        <v>1270.73</v>
      </c>
      <c r="I484" s="216">
        <v>46086</v>
      </c>
      <c r="J484" s="36" t="s">
        <v>91</v>
      </c>
      <c r="K484" s="26" t="s">
        <v>77</v>
      </c>
      <c r="L484" s="11">
        <v>46052</v>
      </c>
      <c r="M484" s="26" t="str">
        <f>IF(Tabela4[[#This Row],[RECOMPRADO]]="RECEBIDO","LIQUIDADO",IF(O484="LIQUIDADO","LIQUIDADO",IF(I484&lt;$I$5,"VENCIDO","A VENCER")))</f>
        <v>LIQUIDADO</v>
      </c>
      <c r="N484" s="212" t="str">
        <f>IF(Tabela4[[#This Row],[STATUS]]="LIQUIDADO","",Tabela4[[#This Row],[VCTO]]-$I$5)</f>
        <v/>
      </c>
      <c r="O484" s="11" t="s">
        <v>86</v>
      </c>
      <c r="P484" s="11"/>
      <c r="Q484" s="26"/>
      <c r="R484" s="26"/>
      <c r="S484" s="26"/>
      <c r="T484" s="26"/>
      <c r="U484" s="26"/>
      <c r="V484" s="5"/>
    </row>
    <row r="485" spans="1:22">
      <c r="A485" s="26" t="s">
        <v>0</v>
      </c>
      <c r="B485" s="11">
        <v>46051</v>
      </c>
      <c r="C485" s="6" t="s">
        <v>41</v>
      </c>
      <c r="D485" s="26">
        <v>334</v>
      </c>
      <c r="E485" s="10" t="s">
        <v>95</v>
      </c>
      <c r="F485" s="26" t="s">
        <v>269</v>
      </c>
      <c r="G485" s="225">
        <v>4422140000109</v>
      </c>
      <c r="H485" s="39">
        <v>1042</v>
      </c>
      <c r="I485" s="216">
        <v>46093</v>
      </c>
      <c r="J485" s="36" t="s">
        <v>91</v>
      </c>
      <c r="K485" s="26" t="s">
        <v>77</v>
      </c>
      <c r="L485" s="11">
        <v>46052</v>
      </c>
      <c r="M485" s="26" t="str">
        <f>IF(Tabela4[[#This Row],[RECOMPRADO]]="RECEBIDO","LIQUIDADO",IF(O485="LIQUIDADO","LIQUIDADO",IF(I485&lt;$I$5,"VENCIDO","A VENCER")))</f>
        <v>LIQUIDADO</v>
      </c>
      <c r="N485" s="212" t="str">
        <f>IF(Tabela4[[#This Row],[STATUS]]="LIQUIDADO","",Tabela4[[#This Row],[VCTO]]-$I$5)</f>
        <v/>
      </c>
      <c r="O485" s="6" t="s">
        <v>86</v>
      </c>
      <c r="P485" s="11"/>
      <c r="Q485" s="26"/>
      <c r="R485" s="26"/>
      <c r="S485" s="26"/>
      <c r="T485" s="26"/>
      <c r="U485" s="26"/>
      <c r="V485" s="5"/>
    </row>
    <row r="486" spans="1:22">
      <c r="A486" s="26" t="s">
        <v>0</v>
      </c>
      <c r="B486" s="11">
        <v>46051</v>
      </c>
      <c r="C486" s="6" t="s">
        <v>41</v>
      </c>
      <c r="D486" s="26">
        <v>334</v>
      </c>
      <c r="E486" s="10" t="s">
        <v>96</v>
      </c>
      <c r="F486" s="26" t="s">
        <v>269</v>
      </c>
      <c r="G486" s="220">
        <v>4422140000109</v>
      </c>
      <c r="H486" s="39">
        <v>1042</v>
      </c>
      <c r="I486" s="216">
        <v>46100</v>
      </c>
      <c r="J486" s="36" t="s">
        <v>91</v>
      </c>
      <c r="K486" s="26" t="s">
        <v>77</v>
      </c>
      <c r="L486" s="6">
        <v>46052</v>
      </c>
      <c r="M486" s="5" t="str">
        <f ca="1">IF(Tabela4[[#This Row],[RECOMPRADO]]="RECEBIDO","LIQUIDADO",IF(O486="LIQUIDADO","LIQUIDADO",IF(I486&lt;$I$5,"VENCIDO","A VENCER")))</f>
        <v>A VENCER</v>
      </c>
      <c r="N486" s="211">
        <f ca="1">IF(Tabela4[[#This Row],[STATUS]]="LIQUIDADO","",Tabela4[[#This Row],[VCTO]]-$I$5)</f>
        <v>2</v>
      </c>
      <c r="O486" s="219"/>
      <c r="P486" s="6"/>
      <c r="Q486" s="5"/>
      <c r="R486" s="5"/>
      <c r="S486" s="5"/>
      <c r="T486" s="26"/>
      <c r="U486" s="26"/>
      <c r="V486" s="5"/>
    </row>
    <row r="487" spans="1:22">
      <c r="A487" s="26" t="s">
        <v>0</v>
      </c>
      <c r="B487" s="11">
        <v>46051</v>
      </c>
      <c r="C487" s="6" t="s">
        <v>43</v>
      </c>
      <c r="D487" s="26">
        <v>335</v>
      </c>
      <c r="E487" s="10" t="s">
        <v>92</v>
      </c>
      <c r="F487" s="26" t="s">
        <v>270</v>
      </c>
      <c r="G487" s="225">
        <v>40930469000144</v>
      </c>
      <c r="H487" s="39">
        <v>625.84</v>
      </c>
      <c r="I487" s="216">
        <v>46084</v>
      </c>
      <c r="J487" s="36" t="s">
        <v>91</v>
      </c>
      <c r="K487" s="26" t="s">
        <v>77</v>
      </c>
      <c r="L487" s="11">
        <v>46052</v>
      </c>
      <c r="M487" s="26" t="str">
        <f>IF(Tabela4[[#This Row],[RECOMPRADO]]="RECEBIDO","LIQUIDADO",IF(O487="LIQUIDADO","LIQUIDADO",IF(I487&lt;$I$5,"VENCIDO","A VENCER")))</f>
        <v>LIQUIDADO</v>
      </c>
      <c r="N487" s="212" t="str">
        <f>IF(Tabela4[[#This Row],[STATUS]]="LIQUIDADO","",Tabela4[[#This Row],[VCTO]]-$I$5)</f>
        <v/>
      </c>
      <c r="O487" s="224" t="s">
        <v>86</v>
      </c>
      <c r="P487" s="11"/>
      <c r="Q487" s="26"/>
      <c r="R487" s="26"/>
      <c r="S487" s="26"/>
      <c r="T487" s="26"/>
      <c r="U487" s="26"/>
      <c r="V487" s="5"/>
    </row>
    <row r="488" spans="1:22">
      <c r="A488" s="26" t="s">
        <v>0</v>
      </c>
      <c r="B488" s="11">
        <v>46051</v>
      </c>
      <c r="C488" s="6" t="s">
        <v>43</v>
      </c>
      <c r="D488" s="26">
        <v>335</v>
      </c>
      <c r="E488" s="10" t="s">
        <v>95</v>
      </c>
      <c r="F488" s="26" t="s">
        <v>270</v>
      </c>
      <c r="G488" s="225">
        <v>40930469000144</v>
      </c>
      <c r="H488" s="39">
        <v>625.84</v>
      </c>
      <c r="I488" s="216">
        <v>46091</v>
      </c>
      <c r="J488" s="36" t="s">
        <v>91</v>
      </c>
      <c r="K488" s="26" t="s">
        <v>77</v>
      </c>
      <c r="L488" s="11">
        <v>46052</v>
      </c>
      <c r="M488" s="26" t="str">
        <f>IF(Tabela4[[#This Row],[RECOMPRADO]]="RECEBIDO","LIQUIDADO",IF(O488="LIQUIDADO","LIQUIDADO",IF(I488&lt;$I$5,"VENCIDO","A VENCER")))</f>
        <v>LIQUIDADO</v>
      </c>
      <c r="N488" s="212" t="str">
        <f>IF(Tabela4[[#This Row],[STATUS]]="LIQUIDADO","",Tabela4[[#This Row],[VCTO]]-$I$5)</f>
        <v/>
      </c>
      <c r="O488" s="224" t="s">
        <v>86</v>
      </c>
      <c r="P488" s="11"/>
      <c r="Q488" s="26"/>
      <c r="R488" s="26"/>
      <c r="S488" s="26"/>
      <c r="T488" s="26"/>
      <c r="U488" s="26"/>
      <c r="V488" s="5"/>
    </row>
    <row r="489" spans="1:22">
      <c r="A489" s="26" t="s">
        <v>0</v>
      </c>
      <c r="B489" s="11">
        <v>46051</v>
      </c>
      <c r="C489" s="6" t="s">
        <v>43</v>
      </c>
      <c r="D489" s="26">
        <v>335</v>
      </c>
      <c r="E489" s="10" t="s">
        <v>96</v>
      </c>
      <c r="F489" s="26" t="s">
        <v>270</v>
      </c>
      <c r="G489" s="225">
        <v>40930469000144</v>
      </c>
      <c r="H489" s="39">
        <v>625.84</v>
      </c>
      <c r="I489" s="216">
        <v>46098</v>
      </c>
      <c r="J489" s="36" t="s">
        <v>91</v>
      </c>
      <c r="K489" s="26" t="s">
        <v>77</v>
      </c>
      <c r="L489" s="11">
        <v>46052</v>
      </c>
      <c r="M489" s="26" t="str">
        <f ca="1">IF(Tabela4[[#This Row],[RECOMPRADO]]="RECEBIDO","LIQUIDADO",IF(O489="LIQUIDADO","LIQUIDADO",IF(I489&lt;$I$5,"VENCIDO","A VENCER")))</f>
        <v>A VENCER</v>
      </c>
      <c r="N489" s="212">
        <f ca="1">IF(Tabela4[[#This Row],[STATUS]]="LIQUIDADO","",Tabela4[[#This Row],[VCTO]]-$I$5)</f>
        <v>0</v>
      </c>
      <c r="O489" s="11"/>
      <c r="P489" s="11"/>
      <c r="Q489" s="26"/>
      <c r="R489" s="26"/>
      <c r="S489" s="26"/>
      <c r="T489" s="26"/>
      <c r="U489" s="26"/>
      <c r="V489" s="5"/>
    </row>
    <row r="490" spans="1:22">
      <c r="A490" s="26" t="s">
        <v>0</v>
      </c>
      <c r="B490" s="11">
        <v>46051</v>
      </c>
      <c r="C490" s="6" t="s">
        <v>41</v>
      </c>
      <c r="D490" s="26">
        <v>335</v>
      </c>
      <c r="E490" s="10" t="s">
        <v>92</v>
      </c>
      <c r="F490" s="26" t="s">
        <v>270</v>
      </c>
      <c r="G490" s="225">
        <v>40930469000144</v>
      </c>
      <c r="H490" s="39">
        <v>813.58</v>
      </c>
      <c r="I490" s="216">
        <v>46084</v>
      </c>
      <c r="J490" s="36" t="s">
        <v>91</v>
      </c>
      <c r="K490" s="26" t="s">
        <v>77</v>
      </c>
      <c r="L490" s="11">
        <v>46052</v>
      </c>
      <c r="M490" s="26" t="str">
        <f>IF(Tabela4[[#This Row],[RECOMPRADO]]="RECEBIDO","LIQUIDADO",IF(O490="LIQUIDADO","LIQUIDADO",IF(I490&lt;$I$5,"VENCIDO","A VENCER")))</f>
        <v>LIQUIDADO</v>
      </c>
      <c r="N490" s="212" t="str">
        <f>IF(Tabela4[[#This Row],[STATUS]]="LIQUIDADO","",Tabela4[[#This Row],[VCTO]]-$I$5)</f>
        <v/>
      </c>
      <c r="O490" s="11" t="s">
        <v>86</v>
      </c>
      <c r="P490" s="11"/>
      <c r="Q490" s="26"/>
      <c r="R490" s="26"/>
      <c r="S490" s="26"/>
      <c r="T490" s="26"/>
      <c r="U490" s="26"/>
      <c r="V490" s="5"/>
    </row>
    <row r="491" spans="1:22">
      <c r="A491" s="26" t="s">
        <v>0</v>
      </c>
      <c r="B491" s="11">
        <v>46051</v>
      </c>
      <c r="C491" s="6" t="s">
        <v>41</v>
      </c>
      <c r="D491" s="26">
        <v>335</v>
      </c>
      <c r="E491" s="10" t="s">
        <v>95</v>
      </c>
      <c r="F491" s="26" t="s">
        <v>270</v>
      </c>
      <c r="G491" s="225">
        <v>40930469000144</v>
      </c>
      <c r="H491" s="39">
        <v>625.84</v>
      </c>
      <c r="I491" s="216">
        <v>46091</v>
      </c>
      <c r="J491" s="36" t="s">
        <v>91</v>
      </c>
      <c r="K491" s="26" t="s">
        <v>77</v>
      </c>
      <c r="L491" s="11">
        <v>46052</v>
      </c>
      <c r="M491" s="26" t="str">
        <f>IF(Tabela4[[#This Row],[RECOMPRADO]]="RECEBIDO","LIQUIDADO",IF(O491="LIQUIDADO","LIQUIDADO",IF(I491&lt;$I$5,"VENCIDO","A VENCER")))</f>
        <v>LIQUIDADO</v>
      </c>
      <c r="N491" s="212" t="str">
        <f>IF(Tabela4[[#This Row],[STATUS]]="LIQUIDADO","",Tabela4[[#This Row],[VCTO]]-$I$5)</f>
        <v/>
      </c>
      <c r="O491" s="6" t="s">
        <v>86</v>
      </c>
      <c r="P491" s="11"/>
      <c r="Q491" s="26"/>
      <c r="R491" s="26"/>
      <c r="S491" s="26"/>
      <c r="T491" s="26"/>
      <c r="U491" s="26"/>
      <c r="V491" s="5"/>
    </row>
    <row r="492" spans="1:22">
      <c r="A492" s="26" t="s">
        <v>0</v>
      </c>
      <c r="B492" s="11">
        <v>46051</v>
      </c>
      <c r="C492" s="6" t="s">
        <v>41</v>
      </c>
      <c r="D492" s="5">
        <v>335</v>
      </c>
      <c r="E492" s="10" t="s">
        <v>96</v>
      </c>
      <c r="F492" s="26" t="s">
        <v>270</v>
      </c>
      <c r="G492" s="220">
        <v>40930469000144</v>
      </c>
      <c r="H492" s="39">
        <v>625.83000000000004</v>
      </c>
      <c r="I492" s="216">
        <v>46098</v>
      </c>
      <c r="J492" s="7" t="s">
        <v>91</v>
      </c>
      <c r="K492" s="5" t="s">
        <v>77</v>
      </c>
      <c r="L492" s="6">
        <v>46052</v>
      </c>
      <c r="M492" s="5" t="str">
        <f ca="1">IF(Tabela4[[#This Row],[RECOMPRADO]]="RECEBIDO","LIQUIDADO",IF(O492="LIQUIDADO","LIQUIDADO",IF(I492&lt;$I$5,"VENCIDO","A VENCER")))</f>
        <v>A VENCER</v>
      </c>
      <c r="N492" s="211">
        <f ca="1">IF(Tabela4[[#This Row],[STATUS]]="LIQUIDADO","",Tabela4[[#This Row],[VCTO]]-$I$5)</f>
        <v>0</v>
      </c>
      <c r="O492" s="219"/>
      <c r="P492" s="6"/>
      <c r="Q492" s="5"/>
      <c r="R492" s="5"/>
      <c r="S492" s="5"/>
      <c r="T492" s="5"/>
      <c r="U492" s="5"/>
      <c r="V492" s="5"/>
    </row>
    <row r="493" spans="1:22">
      <c r="A493" s="26" t="s">
        <v>0</v>
      </c>
      <c r="B493" s="11">
        <v>46051</v>
      </c>
      <c r="C493" s="6" t="s">
        <v>43</v>
      </c>
      <c r="D493" s="5">
        <v>336</v>
      </c>
      <c r="E493" s="10" t="s">
        <v>92</v>
      </c>
      <c r="F493" s="26" t="s">
        <v>100</v>
      </c>
      <c r="G493" s="220" t="s">
        <v>101</v>
      </c>
      <c r="H493" s="39">
        <v>6220.07</v>
      </c>
      <c r="I493" s="216">
        <v>46087</v>
      </c>
      <c r="J493" s="7" t="s">
        <v>91</v>
      </c>
      <c r="K493" s="5" t="s">
        <v>77</v>
      </c>
      <c r="L493" s="6">
        <v>46052</v>
      </c>
      <c r="M493" s="5" t="str">
        <f>IF(Tabela4[[#This Row],[RECOMPRADO]]="RECEBIDO","LIQUIDADO",IF(O493="LIQUIDADO","LIQUIDADO",IF(I493&lt;$I$5,"VENCIDO","A VENCER")))</f>
        <v>LIQUIDADO</v>
      </c>
      <c r="N493" s="211" t="str">
        <f>IF(Tabela4[[#This Row],[STATUS]]="LIQUIDADO","",Tabela4[[#This Row],[VCTO]]-$I$5)</f>
        <v/>
      </c>
      <c r="O493" s="224" t="s">
        <v>86</v>
      </c>
      <c r="P493" s="6"/>
      <c r="Q493" s="5"/>
      <c r="R493" s="5"/>
      <c r="S493" s="5"/>
      <c r="T493" s="5" t="s">
        <v>494</v>
      </c>
      <c r="U493" s="5"/>
      <c r="V493" s="5"/>
    </row>
    <row r="494" spans="1:22">
      <c r="A494" s="26" t="s">
        <v>0</v>
      </c>
      <c r="B494" s="11">
        <v>46051</v>
      </c>
      <c r="C494" s="11" t="s">
        <v>43</v>
      </c>
      <c r="D494" s="26">
        <v>336</v>
      </c>
      <c r="E494" s="10" t="s">
        <v>95</v>
      </c>
      <c r="F494" s="26" t="s">
        <v>100</v>
      </c>
      <c r="G494" s="220" t="s">
        <v>101</v>
      </c>
      <c r="H494" s="39">
        <v>6220.07</v>
      </c>
      <c r="I494" s="216">
        <v>46102</v>
      </c>
      <c r="J494" s="7" t="s">
        <v>91</v>
      </c>
      <c r="K494" s="5" t="s">
        <v>77</v>
      </c>
      <c r="L494" s="11">
        <v>46052</v>
      </c>
      <c r="M494" s="26" t="str">
        <f ca="1">IF(Tabela4[[#This Row],[RECOMPRADO]]="RECEBIDO","LIQUIDADO",IF(O494="LIQUIDADO","LIQUIDADO",IF(I494&lt;$I$5,"VENCIDO","A VENCER")))</f>
        <v>A VENCER</v>
      </c>
      <c r="N494" s="212">
        <f ca="1">IF(Tabela4[[#This Row],[STATUS]]="LIQUIDADO","",Tabela4[[#This Row],[VCTO]]-$I$5)</f>
        <v>4</v>
      </c>
      <c r="O494" s="224"/>
      <c r="P494" s="11"/>
      <c r="Q494" s="26"/>
      <c r="R494" s="26"/>
      <c r="S494" s="26"/>
      <c r="T494" s="26" t="s">
        <v>494</v>
      </c>
      <c r="U494" s="26"/>
      <c r="V494" s="5"/>
    </row>
    <row r="495" spans="1:22">
      <c r="A495" s="26" t="s">
        <v>0</v>
      </c>
      <c r="B495" s="11">
        <v>46051</v>
      </c>
      <c r="C495" s="11" t="s">
        <v>43</v>
      </c>
      <c r="D495" s="5">
        <v>336</v>
      </c>
      <c r="E495" s="10" t="s">
        <v>96</v>
      </c>
      <c r="F495" s="26" t="s">
        <v>100</v>
      </c>
      <c r="G495" s="220" t="s">
        <v>101</v>
      </c>
      <c r="H495" s="39">
        <v>6220.06</v>
      </c>
      <c r="I495" s="216">
        <v>46117</v>
      </c>
      <c r="J495" s="36" t="s">
        <v>91</v>
      </c>
      <c r="K495" s="26" t="s">
        <v>77</v>
      </c>
      <c r="L495" s="11">
        <v>46052</v>
      </c>
      <c r="M495" s="26" t="str">
        <f ca="1">IF(Tabela4[[#This Row],[RECOMPRADO]]="RECEBIDO","LIQUIDADO",IF(O495="LIQUIDADO","LIQUIDADO",IF(I495&lt;$I$5,"VENCIDO","A VENCER")))</f>
        <v>A VENCER</v>
      </c>
      <c r="N495" s="212">
        <f ca="1">IF(Tabela4[[#This Row],[STATUS]]="LIQUIDADO","",Tabela4[[#This Row],[VCTO]]-$I$5)</f>
        <v>19</v>
      </c>
      <c r="O495" s="11"/>
      <c r="P495" s="11"/>
      <c r="Q495" s="26"/>
      <c r="R495" s="26"/>
      <c r="S495" s="26"/>
      <c r="T495" s="26" t="s">
        <v>494</v>
      </c>
      <c r="U495" s="26"/>
      <c r="V495" s="5"/>
    </row>
    <row r="496" spans="1:22">
      <c r="A496" s="26" t="s">
        <v>0</v>
      </c>
      <c r="B496" s="11">
        <v>46051</v>
      </c>
      <c r="C496" s="11" t="s">
        <v>41</v>
      </c>
      <c r="D496" s="5">
        <v>336</v>
      </c>
      <c r="E496" s="10" t="s">
        <v>92</v>
      </c>
      <c r="F496" s="26" t="s">
        <v>100</v>
      </c>
      <c r="G496" s="220" t="s">
        <v>101</v>
      </c>
      <c r="H496" s="39">
        <v>6220.07</v>
      </c>
      <c r="I496" s="216">
        <v>46087</v>
      </c>
      <c r="J496" s="36" t="s">
        <v>91</v>
      </c>
      <c r="K496" s="26" t="s">
        <v>77</v>
      </c>
      <c r="L496" s="11">
        <v>46052</v>
      </c>
      <c r="M496" s="26" t="str">
        <f>IF(Tabela4[[#This Row],[RECOMPRADO]]="RECEBIDO","LIQUIDADO",IF(O496="LIQUIDADO","LIQUIDADO",IF(I496&lt;$I$5,"VENCIDO","A VENCER")))</f>
        <v>LIQUIDADO</v>
      </c>
      <c r="N496" s="212" t="str">
        <f>IF(Tabela4[[#This Row],[STATUS]]="LIQUIDADO","",Tabela4[[#This Row],[VCTO]]-$I$5)</f>
        <v/>
      </c>
      <c r="O496" s="11" t="s">
        <v>86</v>
      </c>
      <c r="P496" s="11"/>
      <c r="Q496" s="26"/>
      <c r="R496" s="26"/>
      <c r="S496" s="26"/>
      <c r="T496" s="26" t="s">
        <v>494</v>
      </c>
      <c r="U496" s="26"/>
      <c r="V496" s="5"/>
    </row>
    <row r="497" spans="1:22">
      <c r="A497" s="26" t="s">
        <v>0</v>
      </c>
      <c r="B497" s="11">
        <v>46051</v>
      </c>
      <c r="C497" s="11" t="s">
        <v>41</v>
      </c>
      <c r="D497" s="5">
        <v>336</v>
      </c>
      <c r="E497" s="10" t="s">
        <v>95</v>
      </c>
      <c r="F497" s="26" t="s">
        <v>100</v>
      </c>
      <c r="G497" s="220" t="s">
        <v>101</v>
      </c>
      <c r="H497" s="39">
        <v>6220.07</v>
      </c>
      <c r="I497" s="216">
        <v>46102</v>
      </c>
      <c r="J497" s="36" t="s">
        <v>91</v>
      </c>
      <c r="K497" s="26" t="s">
        <v>77</v>
      </c>
      <c r="L497" s="11">
        <v>46052</v>
      </c>
      <c r="M497" s="26" t="str">
        <f ca="1">IF(Tabela4[[#This Row],[RECOMPRADO]]="RECEBIDO","LIQUIDADO",IF(O497="LIQUIDADO","LIQUIDADO",IF(I497&lt;$I$5,"VENCIDO","A VENCER")))</f>
        <v>A VENCER</v>
      </c>
      <c r="N497" s="212">
        <f ca="1">IF(Tabela4[[#This Row],[STATUS]]="LIQUIDADO","",Tabela4[[#This Row],[VCTO]]-$I$5)</f>
        <v>4</v>
      </c>
      <c r="O497" s="6"/>
      <c r="P497" s="11"/>
      <c r="Q497" s="26"/>
      <c r="R497" s="26"/>
      <c r="S497" s="26"/>
      <c r="T497" s="26" t="s">
        <v>494</v>
      </c>
      <c r="U497" s="26"/>
      <c r="V497" s="5"/>
    </row>
    <row r="498" spans="1:22">
      <c r="A498" s="26" t="s">
        <v>0</v>
      </c>
      <c r="B498" s="11">
        <v>46051</v>
      </c>
      <c r="C498" s="11" t="s">
        <v>41</v>
      </c>
      <c r="D498" s="26">
        <v>336</v>
      </c>
      <c r="E498" s="10" t="s">
        <v>96</v>
      </c>
      <c r="F498" s="26" t="s">
        <v>100</v>
      </c>
      <c r="G498" s="225" t="s">
        <v>101</v>
      </c>
      <c r="H498" s="39">
        <v>6220.06</v>
      </c>
      <c r="I498" s="216">
        <v>46117</v>
      </c>
      <c r="J498" s="36" t="s">
        <v>91</v>
      </c>
      <c r="K498" s="26" t="s">
        <v>77</v>
      </c>
      <c r="L498" s="11">
        <v>46052</v>
      </c>
      <c r="M498" s="26" t="str">
        <f ca="1">IF(Tabela4[[#This Row],[RECOMPRADO]]="RECEBIDO","LIQUIDADO",IF(O498="LIQUIDADO","LIQUIDADO",IF(I498&lt;$I$5,"VENCIDO","A VENCER")))</f>
        <v>A VENCER</v>
      </c>
      <c r="N498" s="212">
        <f ca="1">IF(Tabela4[[#This Row],[STATUS]]="LIQUIDADO","",Tabela4[[#This Row],[VCTO]]-$I$5)</f>
        <v>19</v>
      </c>
      <c r="O498" s="219"/>
      <c r="P498" s="11"/>
      <c r="Q498" s="26"/>
      <c r="R498" s="26"/>
      <c r="S498" s="26"/>
      <c r="T498" s="26" t="s">
        <v>494</v>
      </c>
      <c r="U498" s="26"/>
      <c r="V498" s="5"/>
    </row>
    <row r="499" spans="1:22">
      <c r="A499" s="26" t="s">
        <v>0</v>
      </c>
      <c r="B499" s="11">
        <v>46051</v>
      </c>
      <c r="C499" s="11" t="s">
        <v>43</v>
      </c>
      <c r="D499" s="26">
        <v>337</v>
      </c>
      <c r="E499" s="10" t="s">
        <v>92</v>
      </c>
      <c r="F499" s="26" t="s">
        <v>271</v>
      </c>
      <c r="G499" s="225">
        <v>6095440000156</v>
      </c>
      <c r="H499" s="39">
        <v>2373.5</v>
      </c>
      <c r="I499" s="216">
        <v>46086</v>
      </c>
      <c r="J499" s="36" t="s">
        <v>91</v>
      </c>
      <c r="K499" s="26" t="s">
        <v>77</v>
      </c>
      <c r="L499" s="11">
        <v>46052</v>
      </c>
      <c r="M499" s="26" t="str">
        <f>IF(Tabela4[[#This Row],[RECOMPRADO]]="RECEBIDO","LIQUIDADO",IF(O499="LIQUIDADO","LIQUIDADO",IF(I499&lt;$I$5,"VENCIDO","A VENCER")))</f>
        <v>LIQUIDADO</v>
      </c>
      <c r="N499" s="212" t="str">
        <f>IF(Tabela4[[#This Row],[STATUS]]="LIQUIDADO","",Tabela4[[#This Row],[VCTO]]-$I$5)</f>
        <v/>
      </c>
      <c r="O499" s="224" t="s">
        <v>86</v>
      </c>
      <c r="P499" s="11"/>
      <c r="Q499" s="26"/>
      <c r="R499" s="26"/>
      <c r="S499" s="26"/>
      <c r="T499" s="26" t="s">
        <v>563</v>
      </c>
      <c r="U499" s="26"/>
      <c r="V499" s="5"/>
    </row>
    <row r="500" spans="1:22">
      <c r="A500" s="26" t="s">
        <v>0</v>
      </c>
      <c r="B500" s="11">
        <v>46051</v>
      </c>
      <c r="C500" s="11" t="s">
        <v>43</v>
      </c>
      <c r="D500" s="26">
        <v>337</v>
      </c>
      <c r="E500" s="10" t="s">
        <v>95</v>
      </c>
      <c r="F500" s="26" t="s">
        <v>271</v>
      </c>
      <c r="G500" s="225">
        <v>6095440000156</v>
      </c>
      <c r="H500" s="39">
        <v>2373.5</v>
      </c>
      <c r="I500" s="216">
        <v>46116</v>
      </c>
      <c r="J500" s="36" t="s">
        <v>91</v>
      </c>
      <c r="K500" s="26" t="s">
        <v>77</v>
      </c>
      <c r="L500" s="11">
        <v>46052</v>
      </c>
      <c r="M500" s="26" t="str">
        <f ca="1">IF(Tabela4[[#This Row],[RECOMPRADO]]="RECEBIDO","LIQUIDADO",IF(O500="LIQUIDADO","LIQUIDADO",IF(I500&lt;$I$5,"VENCIDO","A VENCER")))</f>
        <v>A VENCER</v>
      </c>
      <c r="N500" s="212">
        <f ca="1">IF(Tabela4[[#This Row],[STATUS]]="LIQUIDADO","",Tabela4[[#This Row],[VCTO]]-$I$5)</f>
        <v>18</v>
      </c>
      <c r="O500" s="224"/>
      <c r="P500" s="11"/>
      <c r="Q500" s="26"/>
      <c r="R500" s="26"/>
      <c r="S500" s="26"/>
      <c r="T500" s="26"/>
      <c r="U500" s="26"/>
      <c r="V500" s="5"/>
    </row>
    <row r="501" spans="1:22">
      <c r="A501" s="26" t="s">
        <v>0</v>
      </c>
      <c r="B501" s="11">
        <v>46051</v>
      </c>
      <c r="C501" s="11" t="s">
        <v>41</v>
      </c>
      <c r="D501" s="26">
        <v>337</v>
      </c>
      <c r="E501" s="10" t="s">
        <v>92</v>
      </c>
      <c r="F501" s="26" t="s">
        <v>271</v>
      </c>
      <c r="G501" s="225">
        <v>6095440000156</v>
      </c>
      <c r="H501" s="39">
        <v>2373.5</v>
      </c>
      <c r="I501" s="216">
        <v>46086</v>
      </c>
      <c r="J501" s="36" t="s">
        <v>91</v>
      </c>
      <c r="K501" s="26" t="s">
        <v>77</v>
      </c>
      <c r="L501" s="11">
        <v>46052</v>
      </c>
      <c r="M501" s="26" t="str">
        <f>IF(Tabela4[[#This Row],[RECOMPRADO]]="RECEBIDO","LIQUIDADO",IF(O501="LIQUIDADO","LIQUIDADO",IF(I501&lt;$I$5,"VENCIDO","A VENCER")))</f>
        <v>LIQUIDADO</v>
      </c>
      <c r="N501" s="212" t="str">
        <f>IF(Tabela4[[#This Row],[STATUS]]="LIQUIDADO","",Tabela4[[#This Row],[VCTO]]-$I$5)</f>
        <v/>
      </c>
      <c r="O501" s="11" t="s">
        <v>86</v>
      </c>
      <c r="P501" s="11"/>
      <c r="Q501" s="26"/>
      <c r="R501" s="26"/>
      <c r="S501" s="26"/>
      <c r="T501" s="26" t="s">
        <v>563</v>
      </c>
      <c r="U501" s="26"/>
      <c r="V501" s="5"/>
    </row>
    <row r="502" spans="1:22">
      <c r="A502" s="26" t="s">
        <v>0</v>
      </c>
      <c r="B502" s="11">
        <v>46051</v>
      </c>
      <c r="C502" s="11" t="s">
        <v>41</v>
      </c>
      <c r="D502" s="26">
        <v>337</v>
      </c>
      <c r="E502" s="10" t="s">
        <v>95</v>
      </c>
      <c r="F502" s="26" t="s">
        <v>271</v>
      </c>
      <c r="G502" s="225">
        <v>6095440000156</v>
      </c>
      <c r="H502" s="39">
        <v>2373.5</v>
      </c>
      <c r="I502" s="216">
        <v>46116</v>
      </c>
      <c r="J502" s="36" t="s">
        <v>91</v>
      </c>
      <c r="K502" s="26" t="s">
        <v>77</v>
      </c>
      <c r="L502" s="11">
        <v>46052</v>
      </c>
      <c r="M502" s="26" t="str">
        <f ca="1">IF(Tabela4[[#This Row],[RECOMPRADO]]="RECEBIDO","LIQUIDADO",IF(O502="LIQUIDADO","LIQUIDADO",IF(I502&lt;$I$5,"VENCIDO","A VENCER")))</f>
        <v>A VENCER</v>
      </c>
      <c r="N502" s="212">
        <f ca="1">IF(Tabela4[[#This Row],[STATUS]]="LIQUIDADO","",Tabela4[[#This Row],[VCTO]]-$I$5)</f>
        <v>18</v>
      </c>
      <c r="O502" s="11"/>
      <c r="P502" s="11"/>
      <c r="Q502" s="26"/>
      <c r="R502" s="26"/>
      <c r="S502" s="26"/>
      <c r="T502" s="26"/>
      <c r="U502" s="26"/>
      <c r="V502" s="5"/>
    </row>
    <row r="503" spans="1:22">
      <c r="A503" s="26" t="s">
        <v>0</v>
      </c>
      <c r="B503" s="11">
        <v>46051</v>
      </c>
      <c r="C503" s="11" t="s">
        <v>43</v>
      </c>
      <c r="D503" s="26">
        <v>338</v>
      </c>
      <c r="E503" s="10" t="s">
        <v>92</v>
      </c>
      <c r="F503" s="26" t="s">
        <v>272</v>
      </c>
      <c r="G503" s="225">
        <v>4665945000183</v>
      </c>
      <c r="H503" s="39">
        <v>3571.5</v>
      </c>
      <c r="I503" s="216">
        <v>46100</v>
      </c>
      <c r="J503" s="36" t="s">
        <v>91</v>
      </c>
      <c r="K503" s="26" t="s">
        <v>77</v>
      </c>
      <c r="L503" s="11">
        <v>46052</v>
      </c>
      <c r="M503" s="26" t="str">
        <f ca="1">IF(Tabela4[[#This Row],[RECOMPRADO]]="RECEBIDO","LIQUIDADO",IF(O503="LIQUIDADO","LIQUIDADO",IF(I503&lt;$I$5,"VENCIDO","A VENCER")))</f>
        <v>A VENCER</v>
      </c>
      <c r="N503" s="212">
        <f ca="1">IF(Tabela4[[#This Row],[STATUS]]="LIQUIDADO","",Tabela4[[#This Row],[VCTO]]-$I$5)</f>
        <v>2</v>
      </c>
      <c r="O503" s="6"/>
      <c r="P503" s="11"/>
      <c r="Q503" s="26"/>
      <c r="R503" s="26"/>
      <c r="S503" s="26"/>
      <c r="T503" s="26" t="s">
        <v>495</v>
      </c>
      <c r="U503" s="26"/>
      <c r="V503" s="5"/>
    </row>
    <row r="504" spans="1:22">
      <c r="A504" s="26" t="s">
        <v>0</v>
      </c>
      <c r="B504" s="11">
        <v>46051</v>
      </c>
      <c r="C504" s="6" t="s">
        <v>43</v>
      </c>
      <c r="D504" s="26">
        <v>338</v>
      </c>
      <c r="E504" s="10" t="s">
        <v>95</v>
      </c>
      <c r="F504" s="26" t="s">
        <v>272</v>
      </c>
      <c r="G504" s="225">
        <v>4665945000183</v>
      </c>
      <c r="H504" s="39">
        <v>3571.5</v>
      </c>
      <c r="I504" s="7">
        <v>46107</v>
      </c>
      <c r="J504" s="7" t="s">
        <v>91</v>
      </c>
      <c r="K504" s="5" t="s">
        <v>77</v>
      </c>
      <c r="L504" s="6">
        <v>46052</v>
      </c>
      <c r="M504" s="5" t="str">
        <f ca="1">IF(Tabela4[[#This Row],[RECOMPRADO]]="RECEBIDO","LIQUIDADO",IF(O504="LIQUIDADO","LIQUIDADO",IF(I504&lt;$I$5,"VENCIDO","A VENCER")))</f>
        <v>A VENCER</v>
      </c>
      <c r="N504" s="211">
        <f ca="1">IF(Tabela4[[#This Row],[STATUS]]="LIQUIDADO","",Tabela4[[#This Row],[VCTO]]-$I$5)</f>
        <v>9</v>
      </c>
      <c r="O504" s="219"/>
      <c r="P504" s="6"/>
      <c r="Q504" s="5"/>
      <c r="R504" s="5"/>
      <c r="S504" s="5"/>
      <c r="T504" s="26" t="s">
        <v>495</v>
      </c>
      <c r="U504" s="26"/>
      <c r="V504" s="5"/>
    </row>
    <row r="505" spans="1:22">
      <c r="A505" s="26" t="s">
        <v>0</v>
      </c>
      <c r="B505" s="11">
        <v>46051</v>
      </c>
      <c r="C505" s="6" t="s">
        <v>43</v>
      </c>
      <c r="D505" s="26">
        <v>338</v>
      </c>
      <c r="E505" s="10" t="s">
        <v>96</v>
      </c>
      <c r="F505" s="26" t="s">
        <v>272</v>
      </c>
      <c r="G505" s="225">
        <v>4665945000183</v>
      </c>
      <c r="H505" s="39">
        <v>3571.5</v>
      </c>
      <c r="I505" s="217">
        <v>46114</v>
      </c>
      <c r="J505" s="7" t="s">
        <v>91</v>
      </c>
      <c r="K505" s="5" t="s">
        <v>77</v>
      </c>
      <c r="L505" s="6">
        <v>46052</v>
      </c>
      <c r="M505" s="5" t="str">
        <f ca="1">IF(Tabela4[[#This Row],[RECOMPRADO]]="RECEBIDO","LIQUIDADO",IF(O505="LIQUIDADO","LIQUIDADO",IF(I505&lt;$I$5,"VENCIDO","A VENCER")))</f>
        <v>A VENCER</v>
      </c>
      <c r="N505" s="211">
        <f ca="1">IF(Tabela4[[#This Row],[STATUS]]="LIQUIDADO","",Tabela4[[#This Row],[VCTO]]-$I$5)</f>
        <v>16</v>
      </c>
      <c r="O505" s="224"/>
      <c r="P505" s="6"/>
      <c r="Q505" s="5"/>
      <c r="R505" s="5"/>
      <c r="S505" s="5"/>
      <c r="T505" s="5" t="s">
        <v>495</v>
      </c>
      <c r="U505" s="5"/>
      <c r="V505" s="5"/>
    </row>
    <row r="506" spans="1:22" ht="17.25" customHeight="1">
      <c r="A506" s="26" t="s">
        <v>0</v>
      </c>
      <c r="B506" s="11">
        <v>46051</v>
      </c>
      <c r="C506" s="11" t="s">
        <v>43</v>
      </c>
      <c r="D506" s="26">
        <v>338</v>
      </c>
      <c r="E506" s="35" t="s">
        <v>97</v>
      </c>
      <c r="F506" s="26" t="s">
        <v>272</v>
      </c>
      <c r="G506" s="225">
        <v>4665945000183</v>
      </c>
      <c r="H506" s="39">
        <v>3571.5</v>
      </c>
      <c r="I506" s="7">
        <v>46117</v>
      </c>
      <c r="J506" s="7" t="s">
        <v>91</v>
      </c>
      <c r="K506" s="5" t="s">
        <v>77</v>
      </c>
      <c r="L506" s="11">
        <v>46052</v>
      </c>
      <c r="M506" s="26" t="str">
        <f ca="1">IF(Tabela4[[#This Row],[RECOMPRADO]]="RECEBIDO","LIQUIDADO",IF(O506="LIQUIDADO","LIQUIDADO",IF(I506&lt;$I$5,"VENCIDO","A VENCER")))</f>
        <v>A VENCER</v>
      </c>
      <c r="N506" s="212">
        <f ca="1">IF(Tabela4[[#This Row],[STATUS]]="LIQUIDADO","",Tabela4[[#This Row],[VCTO]]-$I$5)</f>
        <v>19</v>
      </c>
      <c r="O506" s="224"/>
      <c r="P506" s="11"/>
      <c r="Q506" s="26"/>
      <c r="R506" s="26"/>
      <c r="S506" s="26"/>
      <c r="T506" s="26" t="s">
        <v>495</v>
      </c>
      <c r="U506" s="26"/>
      <c r="V506" s="5"/>
    </row>
    <row r="507" spans="1:22">
      <c r="A507" s="26" t="s">
        <v>0</v>
      </c>
      <c r="B507" s="11">
        <v>46051</v>
      </c>
      <c r="C507" s="11" t="s">
        <v>41</v>
      </c>
      <c r="D507" s="26">
        <v>338</v>
      </c>
      <c r="E507" s="35" t="s">
        <v>92</v>
      </c>
      <c r="F507" s="26" t="s">
        <v>272</v>
      </c>
      <c r="G507" s="225">
        <v>4665945000183</v>
      </c>
      <c r="H507" s="39">
        <v>4921.53</v>
      </c>
      <c r="I507" s="216">
        <v>46100</v>
      </c>
      <c r="J507" s="36" t="s">
        <v>91</v>
      </c>
      <c r="K507" s="26" t="s">
        <v>77</v>
      </c>
      <c r="L507" s="11">
        <v>46052</v>
      </c>
      <c r="M507" s="26" t="str">
        <f ca="1">IF(Tabela4[[#This Row],[RECOMPRADO]]="RECEBIDO","LIQUIDADO",IF(O507="LIQUIDADO","LIQUIDADO",IF(I507&lt;$I$5,"VENCIDO","A VENCER")))</f>
        <v>A VENCER</v>
      </c>
      <c r="N507" s="212">
        <f ca="1">IF(Tabela4[[#This Row],[STATUS]]="LIQUIDADO","",Tabela4[[#This Row],[VCTO]]-$I$5)</f>
        <v>2</v>
      </c>
      <c r="O507" s="11"/>
      <c r="P507" s="11"/>
      <c r="Q507" s="26"/>
      <c r="R507" s="26"/>
      <c r="S507" s="26"/>
      <c r="T507" s="26" t="s">
        <v>495</v>
      </c>
      <c r="U507" s="26"/>
      <c r="V507" s="5"/>
    </row>
    <row r="508" spans="1:22">
      <c r="A508" s="5" t="s">
        <v>0</v>
      </c>
      <c r="B508" s="6">
        <v>46051</v>
      </c>
      <c r="C508" s="6" t="s">
        <v>41</v>
      </c>
      <c r="D508" s="5">
        <v>338</v>
      </c>
      <c r="E508" s="10" t="s">
        <v>95</v>
      </c>
      <c r="F508" s="5" t="s">
        <v>272</v>
      </c>
      <c r="G508" s="220">
        <v>4665945000183</v>
      </c>
      <c r="H508" s="39">
        <v>3571.5</v>
      </c>
      <c r="I508" s="7">
        <v>46107</v>
      </c>
      <c r="J508" s="7" t="s">
        <v>91</v>
      </c>
      <c r="K508" s="5" t="s">
        <v>77</v>
      </c>
      <c r="L508" s="6">
        <v>46052</v>
      </c>
      <c r="M508" s="5" t="str">
        <f ca="1">IF(Tabela4[[#This Row],[RECOMPRADO]]="RECEBIDO","LIQUIDADO",IF(O508="LIQUIDADO","LIQUIDADO",IF(I508&lt;$I$5,"VENCIDO","A VENCER")))</f>
        <v>A VENCER</v>
      </c>
      <c r="N508" s="211">
        <f ca="1">IF(Tabela4[[#This Row],[STATUS]]="LIQUIDADO","",Tabela4[[#This Row],[VCTO]]-$I$5)</f>
        <v>9</v>
      </c>
      <c r="O508" s="11"/>
      <c r="P508" s="6"/>
      <c r="Q508" s="5"/>
      <c r="R508" s="5"/>
      <c r="S508" s="5"/>
      <c r="T508" s="5" t="s">
        <v>495</v>
      </c>
      <c r="U508" s="5"/>
      <c r="V508" s="5"/>
    </row>
    <row r="509" spans="1:22">
      <c r="A509" s="26" t="s">
        <v>0</v>
      </c>
      <c r="B509" s="6">
        <v>46051</v>
      </c>
      <c r="C509" s="11" t="s">
        <v>41</v>
      </c>
      <c r="D509" s="5">
        <v>338</v>
      </c>
      <c r="E509" s="10" t="s">
        <v>96</v>
      </c>
      <c r="F509" s="5" t="s">
        <v>272</v>
      </c>
      <c r="G509" s="225">
        <v>4665945000183</v>
      </c>
      <c r="H509" s="39">
        <v>3571.5</v>
      </c>
      <c r="I509" s="217">
        <v>46114</v>
      </c>
      <c r="J509" s="7" t="s">
        <v>91</v>
      </c>
      <c r="K509" s="5" t="s">
        <v>77</v>
      </c>
      <c r="L509" s="6">
        <v>46052</v>
      </c>
      <c r="M509" s="5" t="str">
        <f ca="1">IF(Tabela4[[#This Row],[RECOMPRADO]]="RECEBIDO","LIQUIDADO",IF(O509="LIQUIDADO","LIQUIDADO",IF(I509&lt;$I$5,"VENCIDO","A VENCER")))</f>
        <v>A VENCER</v>
      </c>
      <c r="N509" s="211">
        <f ca="1">IF(Tabela4[[#This Row],[STATUS]]="LIQUIDADO","",Tabela4[[#This Row],[VCTO]]-$I$5)</f>
        <v>16</v>
      </c>
      <c r="O509" s="6"/>
      <c r="P509" s="6"/>
      <c r="Q509" s="5"/>
      <c r="R509" s="5"/>
      <c r="S509" s="5"/>
      <c r="T509" s="5" t="s">
        <v>495</v>
      </c>
      <c r="U509" s="5"/>
      <c r="V509" s="5"/>
    </row>
    <row r="510" spans="1:22">
      <c r="A510" s="5" t="s">
        <v>0</v>
      </c>
      <c r="B510" s="6">
        <v>46051</v>
      </c>
      <c r="C510" s="6" t="s">
        <v>41</v>
      </c>
      <c r="D510" s="5">
        <v>338</v>
      </c>
      <c r="E510" s="10" t="s">
        <v>97</v>
      </c>
      <c r="F510" s="5" t="s">
        <v>272</v>
      </c>
      <c r="G510" s="220">
        <v>4665945000183</v>
      </c>
      <c r="H510" s="39">
        <v>3571.5</v>
      </c>
      <c r="I510" s="7">
        <v>46117</v>
      </c>
      <c r="J510" s="7" t="s">
        <v>91</v>
      </c>
      <c r="K510" s="5" t="s">
        <v>77</v>
      </c>
      <c r="L510" s="6">
        <v>46052</v>
      </c>
      <c r="M510" s="5" t="str">
        <f ca="1">IF(Tabela4[[#This Row],[RECOMPRADO]]="RECEBIDO","LIQUIDADO",IF(O510="LIQUIDADO","LIQUIDADO",IF(I510&lt;$I$5,"VENCIDO","A VENCER")))</f>
        <v>A VENCER</v>
      </c>
      <c r="N510" s="211">
        <f ca="1">IF(Tabela4[[#This Row],[STATUS]]="LIQUIDADO","",Tabela4[[#This Row],[VCTO]]-$I$5)</f>
        <v>19</v>
      </c>
      <c r="O510" s="219"/>
      <c r="P510" s="6"/>
      <c r="Q510" s="5"/>
      <c r="R510" s="5"/>
      <c r="S510" s="5"/>
      <c r="T510" s="26" t="s">
        <v>495</v>
      </c>
      <c r="U510" s="26"/>
      <c r="V510" s="5"/>
    </row>
    <row r="511" spans="1:22">
      <c r="A511" s="5" t="s">
        <v>0</v>
      </c>
      <c r="B511" s="6">
        <v>46051</v>
      </c>
      <c r="C511" s="6" t="s">
        <v>41</v>
      </c>
      <c r="D511" s="5">
        <v>338</v>
      </c>
      <c r="E511" s="35" t="s">
        <v>98</v>
      </c>
      <c r="F511" s="5" t="s">
        <v>272</v>
      </c>
      <c r="G511" s="225">
        <v>4665945000183</v>
      </c>
      <c r="H511" s="39">
        <v>3571.5</v>
      </c>
      <c r="I511" s="216">
        <v>46124</v>
      </c>
      <c r="J511" s="36" t="s">
        <v>91</v>
      </c>
      <c r="K511" s="26" t="s">
        <v>77</v>
      </c>
      <c r="L511" s="11">
        <v>46052</v>
      </c>
      <c r="M511" s="26" t="str">
        <f ca="1">IF(Tabela4[[#This Row],[RECOMPRADO]]="RECEBIDO","LIQUIDADO",IF(O511="LIQUIDADO","LIQUIDADO",IF(I511&lt;$I$5,"VENCIDO","A VENCER")))</f>
        <v>A VENCER</v>
      </c>
      <c r="N511" s="212">
        <f ca="1">IF(Tabela4[[#This Row],[STATUS]]="LIQUIDADO","",Tabela4[[#This Row],[VCTO]]-$I$5)</f>
        <v>26</v>
      </c>
      <c r="O511" s="224"/>
      <c r="P511" s="11"/>
      <c r="Q511" s="26"/>
      <c r="R511" s="26"/>
      <c r="S511" s="26"/>
      <c r="T511" s="26" t="s">
        <v>495</v>
      </c>
      <c r="U511" s="26"/>
      <c r="V511" s="5"/>
    </row>
    <row r="512" spans="1:22">
      <c r="A512" s="5" t="s">
        <v>0</v>
      </c>
      <c r="B512" s="6">
        <v>46051</v>
      </c>
      <c r="C512" s="6" t="s">
        <v>43</v>
      </c>
      <c r="D512" s="5">
        <v>338</v>
      </c>
      <c r="E512" s="35" t="s">
        <v>98</v>
      </c>
      <c r="F512" s="5" t="s">
        <v>272</v>
      </c>
      <c r="G512" s="225">
        <v>4665945000183</v>
      </c>
      <c r="H512" s="39">
        <v>3571.5</v>
      </c>
      <c r="I512" s="216">
        <v>46124</v>
      </c>
      <c r="J512" s="36" t="s">
        <v>91</v>
      </c>
      <c r="K512" s="26" t="s">
        <v>77</v>
      </c>
      <c r="L512" s="11">
        <v>46052</v>
      </c>
      <c r="M512" s="26" t="str">
        <f ca="1">IF(Tabela4[[#This Row],[RECOMPRADO]]="RECEBIDO","LIQUIDADO",IF(O512="LIQUIDADO","LIQUIDADO",IF(I512&lt;$I$5,"VENCIDO","A VENCER")))</f>
        <v>A VENCER</v>
      </c>
      <c r="N512" s="212">
        <f ca="1">IF(Tabela4[[#This Row],[STATUS]]="LIQUIDADO","",Tabela4[[#This Row],[VCTO]]-$I$5)</f>
        <v>26</v>
      </c>
      <c r="O512" s="224"/>
      <c r="P512" s="11"/>
      <c r="Q512" s="26"/>
      <c r="R512" s="26"/>
      <c r="S512" s="26"/>
      <c r="T512" s="26" t="s">
        <v>495</v>
      </c>
      <c r="U512" s="26"/>
      <c r="V512" s="5"/>
    </row>
    <row r="513" spans="1:22">
      <c r="A513" s="5" t="s">
        <v>0</v>
      </c>
      <c r="B513" s="6">
        <v>46051</v>
      </c>
      <c r="C513" s="6" t="s">
        <v>43</v>
      </c>
      <c r="D513" s="5">
        <v>339</v>
      </c>
      <c r="E513" s="35" t="s">
        <v>92</v>
      </c>
      <c r="F513" s="5" t="s">
        <v>112</v>
      </c>
      <c r="G513" s="225">
        <v>22991072000180</v>
      </c>
      <c r="H513" s="39">
        <v>628.5</v>
      </c>
      <c r="I513" s="216">
        <v>46080</v>
      </c>
      <c r="J513" s="36" t="s">
        <v>91</v>
      </c>
      <c r="K513" s="26" t="s">
        <v>77</v>
      </c>
      <c r="L513" s="11">
        <v>46052</v>
      </c>
      <c r="M513" s="26" t="str">
        <f>IF(Tabela4[[#This Row],[RECOMPRADO]]="RECEBIDO","LIQUIDADO",IF(O513="LIQUIDADO","LIQUIDADO",IF(I513&lt;$I$5,"VENCIDO","A VENCER")))</f>
        <v>LIQUIDADO</v>
      </c>
      <c r="N513" s="212" t="str">
        <f>IF(Tabela4[[#This Row],[STATUS]]="LIQUIDADO","",Tabela4[[#This Row],[VCTO]]-$I$5)</f>
        <v/>
      </c>
      <c r="O513" s="11" t="s">
        <v>86</v>
      </c>
      <c r="P513" s="11"/>
      <c r="Q513" s="26"/>
      <c r="R513" s="26"/>
      <c r="S513" s="26"/>
      <c r="T513" s="26" t="s">
        <v>568</v>
      </c>
      <c r="U513" s="26"/>
      <c r="V513" s="5"/>
    </row>
    <row r="514" spans="1:22">
      <c r="A514" s="5" t="s">
        <v>0</v>
      </c>
      <c r="B514" s="6">
        <v>46051</v>
      </c>
      <c r="C514" s="6" t="s">
        <v>43</v>
      </c>
      <c r="D514" s="5">
        <v>339</v>
      </c>
      <c r="E514" s="35" t="s">
        <v>95</v>
      </c>
      <c r="F514" s="5" t="s">
        <v>112</v>
      </c>
      <c r="G514" s="225">
        <v>22991072000180</v>
      </c>
      <c r="H514" s="39">
        <v>628.5</v>
      </c>
      <c r="I514" s="216">
        <v>46087</v>
      </c>
      <c r="J514" s="7" t="s">
        <v>91</v>
      </c>
      <c r="K514" s="5" t="s">
        <v>77</v>
      </c>
      <c r="L514" s="6">
        <v>46052</v>
      </c>
      <c r="M514" s="5" t="str">
        <f>IF(Tabela4[[#This Row],[RECOMPRADO]]="RECEBIDO","LIQUIDADO",IF(O514="LIQUIDADO","LIQUIDADO",IF(I514&lt;$I$5,"VENCIDO","A VENCER")))</f>
        <v>LIQUIDADO</v>
      </c>
      <c r="N514" s="211" t="str">
        <f>IF(Tabela4[[#This Row],[STATUS]]="LIQUIDADO","",Tabela4[[#This Row],[VCTO]]-$I$5)</f>
        <v/>
      </c>
      <c r="O514" s="11" t="s">
        <v>86</v>
      </c>
      <c r="P514" s="6"/>
      <c r="Q514" s="5"/>
      <c r="R514" s="5"/>
      <c r="S514" s="5"/>
      <c r="T514" s="5"/>
      <c r="U514" s="5"/>
      <c r="V514" s="5"/>
    </row>
    <row r="515" spans="1:22">
      <c r="A515" s="5" t="s">
        <v>0</v>
      </c>
      <c r="B515" s="6">
        <v>46051</v>
      </c>
      <c r="C515" s="6" t="s">
        <v>43</v>
      </c>
      <c r="D515" s="5">
        <v>339</v>
      </c>
      <c r="E515" s="35" t="s">
        <v>96</v>
      </c>
      <c r="F515" s="5" t="s">
        <v>112</v>
      </c>
      <c r="G515" s="225">
        <v>22991072000180</v>
      </c>
      <c r="H515" s="39">
        <v>628.5</v>
      </c>
      <c r="I515" s="216">
        <v>46094</v>
      </c>
      <c r="J515" s="7" t="s">
        <v>91</v>
      </c>
      <c r="K515" s="5" t="s">
        <v>77</v>
      </c>
      <c r="L515" s="6">
        <v>46052</v>
      </c>
      <c r="M515" s="5" t="str">
        <f>IF(Tabela4[[#This Row],[RECOMPRADO]]="RECEBIDO","LIQUIDADO",IF(O515="LIQUIDADO","LIQUIDADO",IF(I515&lt;$I$5,"VENCIDO","A VENCER")))</f>
        <v>LIQUIDADO</v>
      </c>
      <c r="N515" s="211" t="str">
        <f>IF(Tabela4[[#This Row],[STATUS]]="LIQUIDADO","",Tabela4[[#This Row],[VCTO]]-$I$5)</f>
        <v/>
      </c>
      <c r="O515" s="6" t="s">
        <v>86</v>
      </c>
      <c r="P515" s="6"/>
      <c r="Q515" s="5"/>
      <c r="R515" s="5"/>
      <c r="S515" s="5"/>
      <c r="T515" s="5"/>
      <c r="U515" s="5"/>
      <c r="V515" s="5"/>
    </row>
    <row r="516" spans="1:22">
      <c r="A516" s="5" t="s">
        <v>0</v>
      </c>
      <c r="B516" s="6">
        <v>46051</v>
      </c>
      <c r="C516" s="6" t="s">
        <v>41</v>
      </c>
      <c r="D516" s="5">
        <v>339</v>
      </c>
      <c r="E516" s="35" t="s">
        <v>92</v>
      </c>
      <c r="F516" s="5" t="s">
        <v>112</v>
      </c>
      <c r="G516" s="225">
        <v>22991072000180</v>
      </c>
      <c r="H516" s="39">
        <v>766.46</v>
      </c>
      <c r="I516" s="216">
        <v>46080</v>
      </c>
      <c r="J516" s="36" t="s">
        <v>91</v>
      </c>
      <c r="K516" s="26" t="s">
        <v>77</v>
      </c>
      <c r="L516" s="11">
        <v>46052</v>
      </c>
      <c r="M516" s="26" t="str">
        <f>IF(Tabela4[[#This Row],[RECOMPRADO]]="RECEBIDO","LIQUIDADO",IF(O516="LIQUIDADO","LIQUIDADO",IF(I516&lt;$I$5,"VENCIDO","A VENCER")))</f>
        <v>LIQUIDADO</v>
      </c>
      <c r="N516" s="212" t="str">
        <f>IF(Tabela4[[#This Row],[STATUS]]="LIQUIDADO","",Tabela4[[#This Row],[VCTO]]-$I$5)</f>
        <v/>
      </c>
      <c r="O516" s="219" t="s">
        <v>86</v>
      </c>
      <c r="P516" s="11"/>
      <c r="Q516" s="26"/>
      <c r="R516" s="26"/>
      <c r="S516" s="26"/>
      <c r="T516" s="26" t="s">
        <v>606</v>
      </c>
      <c r="U516" s="26"/>
      <c r="V516" s="5"/>
    </row>
    <row r="517" spans="1:22">
      <c r="A517" s="26" t="s">
        <v>0</v>
      </c>
      <c r="B517" s="11">
        <v>46051</v>
      </c>
      <c r="C517" s="11" t="s">
        <v>41</v>
      </c>
      <c r="D517" s="26">
        <v>339</v>
      </c>
      <c r="E517" s="35" t="s">
        <v>95</v>
      </c>
      <c r="F517" s="26" t="s">
        <v>112</v>
      </c>
      <c r="G517" s="225">
        <v>22991072000180</v>
      </c>
      <c r="H517" s="39">
        <v>628.5</v>
      </c>
      <c r="I517" s="216">
        <v>46087</v>
      </c>
      <c r="J517" s="36" t="s">
        <v>91</v>
      </c>
      <c r="K517" s="26" t="s">
        <v>77</v>
      </c>
      <c r="L517" s="11">
        <v>46052</v>
      </c>
      <c r="M517" s="26" t="str">
        <f>IF(Tabela4[[#This Row],[RECOMPRADO]]="RECEBIDO","LIQUIDADO",IF(O517="LIQUIDADO","LIQUIDADO",IF(I517&lt;$I$5,"VENCIDO","A VENCER")))</f>
        <v>LIQUIDADO</v>
      </c>
      <c r="N517" s="212" t="str">
        <f>IF(Tabela4[[#This Row],[STATUS]]="LIQUIDADO","",Tabela4[[#This Row],[VCTO]]-$I$5)</f>
        <v/>
      </c>
      <c r="O517" s="224" t="s">
        <v>86</v>
      </c>
      <c r="P517" s="11"/>
      <c r="Q517" s="26"/>
      <c r="R517" s="26"/>
      <c r="S517" s="26"/>
      <c r="T517" s="26"/>
      <c r="U517" s="26"/>
      <c r="V517" s="5"/>
    </row>
    <row r="518" spans="1:22">
      <c r="A518" s="26" t="s">
        <v>0</v>
      </c>
      <c r="B518" s="11">
        <v>46051</v>
      </c>
      <c r="C518" s="11" t="s">
        <v>41</v>
      </c>
      <c r="D518" s="26">
        <v>339</v>
      </c>
      <c r="E518" s="35" t="s">
        <v>96</v>
      </c>
      <c r="F518" s="26" t="s">
        <v>112</v>
      </c>
      <c r="G518" s="225">
        <v>22991072000180</v>
      </c>
      <c r="H518" s="39">
        <v>628.5</v>
      </c>
      <c r="I518" s="216">
        <v>46094</v>
      </c>
      <c r="J518" s="36" t="s">
        <v>91</v>
      </c>
      <c r="K518" s="26" t="s">
        <v>77</v>
      </c>
      <c r="L518" s="11">
        <v>46052</v>
      </c>
      <c r="M518" s="26" t="str">
        <f>IF(Tabela4[[#This Row],[RECOMPRADO]]="RECEBIDO","LIQUIDADO",IF(O518="LIQUIDADO","LIQUIDADO",IF(I518&lt;$I$5,"VENCIDO","A VENCER")))</f>
        <v>LIQUIDADO</v>
      </c>
      <c r="N518" s="212" t="str">
        <f>IF(Tabela4[[#This Row],[STATUS]]="LIQUIDADO","",Tabela4[[#This Row],[VCTO]]-$I$5)</f>
        <v/>
      </c>
      <c r="O518" s="224" t="s">
        <v>86</v>
      </c>
      <c r="P518" s="11"/>
      <c r="Q518" s="26"/>
      <c r="R518" s="26"/>
      <c r="S518" s="26"/>
      <c r="T518" s="26"/>
      <c r="U518" s="26"/>
      <c r="V518" s="5"/>
    </row>
    <row r="519" spans="1:22">
      <c r="A519" s="26" t="s">
        <v>0</v>
      </c>
      <c r="B519" s="11">
        <v>46051</v>
      </c>
      <c r="C519" s="11" t="s">
        <v>43</v>
      </c>
      <c r="D519" s="26">
        <v>340</v>
      </c>
      <c r="E519" s="35" t="s">
        <v>92</v>
      </c>
      <c r="F519" s="26" t="s">
        <v>273</v>
      </c>
      <c r="G519" s="225">
        <v>30525936000105</v>
      </c>
      <c r="H519" s="39">
        <v>10500.48</v>
      </c>
      <c r="I519" s="216">
        <v>46089</v>
      </c>
      <c r="J519" s="36" t="s">
        <v>91</v>
      </c>
      <c r="K519" s="26" t="s">
        <v>77</v>
      </c>
      <c r="L519" s="11">
        <v>46052</v>
      </c>
      <c r="M519" s="26" t="str">
        <f>IF(Tabela4[[#This Row],[RECOMPRADO]]="RECEBIDO","LIQUIDADO",IF(O519="LIQUIDADO","LIQUIDADO",IF(I519&lt;$I$5,"VENCIDO","A VENCER")))</f>
        <v>LIQUIDADO</v>
      </c>
      <c r="N519" s="212" t="str">
        <f>IF(Tabela4[[#This Row],[STATUS]]="LIQUIDADO","",Tabela4[[#This Row],[VCTO]]-$I$5)</f>
        <v/>
      </c>
      <c r="O519" s="11" t="s">
        <v>86</v>
      </c>
      <c r="P519" s="11"/>
      <c r="Q519" s="26"/>
      <c r="R519" s="26"/>
      <c r="S519" s="26"/>
      <c r="T519" s="26" t="s">
        <v>567</v>
      </c>
      <c r="U519" s="26"/>
      <c r="V519" s="5"/>
    </row>
    <row r="520" spans="1:22">
      <c r="A520" s="26" t="s">
        <v>0</v>
      </c>
      <c r="B520" s="11">
        <v>46051</v>
      </c>
      <c r="C520" s="11" t="s">
        <v>43</v>
      </c>
      <c r="D520" s="26">
        <v>340</v>
      </c>
      <c r="E520" s="35" t="s">
        <v>95</v>
      </c>
      <c r="F520" s="26" t="s">
        <v>273</v>
      </c>
      <c r="G520" s="225">
        <v>30525936000105</v>
      </c>
      <c r="H520" s="39">
        <v>10500.48</v>
      </c>
      <c r="I520" s="216">
        <v>46119</v>
      </c>
      <c r="J520" s="36" t="s">
        <v>91</v>
      </c>
      <c r="K520" s="26" t="s">
        <v>77</v>
      </c>
      <c r="L520" s="11">
        <v>46052</v>
      </c>
      <c r="M520" s="26" t="str">
        <f ca="1">IF(Tabela4[[#This Row],[RECOMPRADO]]="RECEBIDO","LIQUIDADO",IF(O520="LIQUIDADO","LIQUIDADO",IF(I520&lt;$I$5,"VENCIDO","A VENCER")))</f>
        <v>A VENCER</v>
      </c>
      <c r="N520" s="212">
        <f ca="1">IF(Tabela4[[#This Row],[STATUS]]="LIQUIDADO","",Tabela4[[#This Row],[VCTO]]-$I$5)</f>
        <v>21</v>
      </c>
      <c r="O520" s="11"/>
      <c r="P520" s="11"/>
      <c r="Q520" s="26"/>
      <c r="R520" s="26"/>
      <c r="S520" s="26"/>
      <c r="T520" s="26" t="s">
        <v>567</v>
      </c>
      <c r="U520" s="26"/>
      <c r="V520" s="5"/>
    </row>
    <row r="521" spans="1:22">
      <c r="A521" s="26" t="s">
        <v>0</v>
      </c>
      <c r="B521" s="11">
        <v>46051</v>
      </c>
      <c r="C521" s="11" t="s">
        <v>43</v>
      </c>
      <c r="D521" s="26">
        <v>340</v>
      </c>
      <c r="E521" s="35" t="s">
        <v>96</v>
      </c>
      <c r="F521" s="26" t="s">
        <v>273</v>
      </c>
      <c r="G521" s="225">
        <v>30525936000105</v>
      </c>
      <c r="H521" s="39">
        <v>10500.47</v>
      </c>
      <c r="I521" s="216">
        <v>46149</v>
      </c>
      <c r="J521" s="36" t="s">
        <v>91</v>
      </c>
      <c r="K521" s="26" t="s">
        <v>77</v>
      </c>
      <c r="L521" s="11">
        <v>46052</v>
      </c>
      <c r="M521" s="26" t="str">
        <f ca="1">IF(Tabela4[[#This Row],[RECOMPRADO]]="RECEBIDO","LIQUIDADO",IF(O521="LIQUIDADO","LIQUIDADO",IF(I521&lt;$I$5,"VENCIDO","A VENCER")))</f>
        <v>A VENCER</v>
      </c>
      <c r="N521" s="212">
        <f ca="1">IF(Tabela4[[#This Row],[STATUS]]="LIQUIDADO","",Tabela4[[#This Row],[VCTO]]-$I$5)</f>
        <v>51</v>
      </c>
      <c r="O521" s="11"/>
      <c r="P521" s="11"/>
      <c r="Q521" s="26"/>
      <c r="R521" s="26"/>
      <c r="S521" s="26"/>
      <c r="T521" s="26" t="s">
        <v>567</v>
      </c>
      <c r="U521" s="26"/>
      <c r="V521" s="5"/>
    </row>
    <row r="522" spans="1:22">
      <c r="A522" s="26" t="s">
        <v>0</v>
      </c>
      <c r="B522" s="11">
        <v>46051</v>
      </c>
      <c r="C522" s="11" t="s">
        <v>41</v>
      </c>
      <c r="D522" s="26">
        <v>340</v>
      </c>
      <c r="E522" s="35" t="s">
        <v>92</v>
      </c>
      <c r="F522" s="26" t="s">
        <v>273</v>
      </c>
      <c r="G522" s="225">
        <v>30525936000105</v>
      </c>
      <c r="H522" s="39">
        <v>10500.48</v>
      </c>
      <c r="I522" s="216">
        <v>46089</v>
      </c>
      <c r="J522" s="36" t="s">
        <v>91</v>
      </c>
      <c r="K522" s="26" t="s">
        <v>77</v>
      </c>
      <c r="L522" s="11">
        <v>46052</v>
      </c>
      <c r="M522" s="26" t="str">
        <f>IF(Tabela4[[#This Row],[RECOMPRADO]]="RECEBIDO","LIQUIDADO",IF(O522="LIQUIDADO","LIQUIDADO",IF(I522&lt;$I$5,"VENCIDO","A VENCER")))</f>
        <v>LIQUIDADO</v>
      </c>
      <c r="N522" s="212" t="str">
        <f>IF(Tabela4[[#This Row],[STATUS]]="LIQUIDADO","",Tabela4[[#This Row],[VCTO]]-$I$5)</f>
        <v/>
      </c>
      <c r="O522" s="224" t="s">
        <v>86</v>
      </c>
      <c r="P522" s="11"/>
      <c r="Q522" s="26"/>
      <c r="R522" s="26"/>
      <c r="S522" s="26"/>
      <c r="T522" s="26" t="s">
        <v>567</v>
      </c>
      <c r="U522" s="26"/>
      <c r="V522" s="5"/>
    </row>
    <row r="523" spans="1:22">
      <c r="A523" s="26" t="s">
        <v>0</v>
      </c>
      <c r="B523" s="11">
        <v>46051</v>
      </c>
      <c r="C523" s="11" t="s">
        <v>41</v>
      </c>
      <c r="D523" s="26">
        <v>340</v>
      </c>
      <c r="E523" s="35" t="s">
        <v>95</v>
      </c>
      <c r="F523" s="26" t="s">
        <v>273</v>
      </c>
      <c r="G523" s="225">
        <v>30525936000105</v>
      </c>
      <c r="H523" s="39">
        <v>10500.48</v>
      </c>
      <c r="I523" s="216">
        <v>46119</v>
      </c>
      <c r="J523" s="36" t="s">
        <v>91</v>
      </c>
      <c r="K523" s="26" t="s">
        <v>77</v>
      </c>
      <c r="L523" s="11">
        <v>46052</v>
      </c>
      <c r="M523" s="26" t="str">
        <f ca="1">IF(Tabela4[[#This Row],[RECOMPRADO]]="RECEBIDO","LIQUIDADO",IF(O523="LIQUIDADO","LIQUIDADO",IF(I523&lt;$I$5,"VENCIDO","A VENCER")))</f>
        <v>A VENCER</v>
      </c>
      <c r="N523" s="212">
        <f ca="1">IF(Tabela4[[#This Row],[STATUS]]="LIQUIDADO","",Tabela4[[#This Row],[VCTO]]-$I$5)</f>
        <v>21</v>
      </c>
      <c r="O523" s="224"/>
      <c r="P523" s="11"/>
      <c r="Q523" s="26"/>
      <c r="R523" s="26"/>
      <c r="S523" s="26"/>
      <c r="T523" s="26" t="s">
        <v>567</v>
      </c>
      <c r="U523" s="26"/>
      <c r="V523" s="5"/>
    </row>
    <row r="524" spans="1:22">
      <c r="A524" s="26" t="s">
        <v>0</v>
      </c>
      <c r="B524" s="11">
        <v>46051</v>
      </c>
      <c r="C524" s="11" t="s">
        <v>41</v>
      </c>
      <c r="D524" s="26">
        <v>340</v>
      </c>
      <c r="E524" s="35" t="s">
        <v>96</v>
      </c>
      <c r="F524" s="26" t="s">
        <v>273</v>
      </c>
      <c r="G524" s="225">
        <v>30525936000105</v>
      </c>
      <c r="H524" s="39">
        <v>10500.47</v>
      </c>
      <c r="I524" s="216">
        <v>46149</v>
      </c>
      <c r="J524" s="36" t="s">
        <v>91</v>
      </c>
      <c r="K524" s="26" t="s">
        <v>77</v>
      </c>
      <c r="L524" s="11">
        <v>46052</v>
      </c>
      <c r="M524" s="26" t="str">
        <f ca="1">IF(Tabela4[[#This Row],[RECOMPRADO]]="RECEBIDO","LIQUIDADO",IF(O524="LIQUIDADO","LIQUIDADO",IF(I524&lt;$I$5,"VENCIDO","A VENCER")))</f>
        <v>A VENCER</v>
      </c>
      <c r="N524" s="212">
        <f ca="1">IF(Tabela4[[#This Row],[STATUS]]="LIQUIDADO","",Tabela4[[#This Row],[VCTO]]-$I$5)</f>
        <v>51</v>
      </c>
      <c r="O524" s="224"/>
      <c r="P524" s="11"/>
      <c r="Q524" s="26"/>
      <c r="R524" s="26"/>
      <c r="S524" s="26"/>
      <c r="T524" s="26" t="s">
        <v>567</v>
      </c>
      <c r="U524" s="26"/>
      <c r="V524" s="5"/>
    </row>
    <row r="525" spans="1:22">
      <c r="A525" s="26" t="s">
        <v>0</v>
      </c>
      <c r="B525" s="11">
        <v>46051</v>
      </c>
      <c r="C525" s="11" t="s">
        <v>43</v>
      </c>
      <c r="D525" s="26">
        <v>341</v>
      </c>
      <c r="E525" s="35" t="s">
        <v>92</v>
      </c>
      <c r="F525" s="26" t="s">
        <v>274</v>
      </c>
      <c r="G525" s="225" t="s">
        <v>358</v>
      </c>
      <c r="H525" s="39">
        <v>2133.25</v>
      </c>
      <c r="I525" s="216">
        <v>46086</v>
      </c>
      <c r="J525" s="36" t="s">
        <v>91</v>
      </c>
      <c r="K525" s="26" t="s">
        <v>77</v>
      </c>
      <c r="L525" s="11">
        <v>46052</v>
      </c>
      <c r="M525" s="26" t="str">
        <f>IF(Tabela4[[#This Row],[RECOMPRADO]]="RECEBIDO","LIQUIDADO",IF(O525="LIQUIDADO","LIQUIDADO",IF(I525&lt;$I$5,"VENCIDO","A VENCER")))</f>
        <v>LIQUIDADO</v>
      </c>
      <c r="N525" s="212" t="str">
        <f>IF(Tabela4[[#This Row],[STATUS]]="LIQUIDADO","",Tabela4[[#This Row],[VCTO]]-$I$5)</f>
        <v/>
      </c>
      <c r="O525" s="11" t="s">
        <v>86</v>
      </c>
      <c r="P525" s="11"/>
      <c r="Q525" s="26"/>
      <c r="R525" s="26"/>
      <c r="S525" s="26"/>
      <c r="T525" s="26" t="s">
        <v>494</v>
      </c>
      <c r="U525" s="26"/>
      <c r="V525" s="5"/>
    </row>
    <row r="526" spans="1:22">
      <c r="A526" s="26" t="s">
        <v>0</v>
      </c>
      <c r="B526" s="11">
        <v>46051</v>
      </c>
      <c r="C526" s="11" t="s">
        <v>43</v>
      </c>
      <c r="D526" s="26">
        <v>341</v>
      </c>
      <c r="E526" s="35" t="s">
        <v>95</v>
      </c>
      <c r="F526" s="26" t="s">
        <v>274</v>
      </c>
      <c r="G526" s="225" t="s">
        <v>358</v>
      </c>
      <c r="H526" s="39">
        <v>2133.25</v>
      </c>
      <c r="I526" s="216">
        <v>46096</v>
      </c>
      <c r="J526" s="36" t="s">
        <v>91</v>
      </c>
      <c r="K526" s="26" t="s">
        <v>77</v>
      </c>
      <c r="L526" s="11">
        <v>46052</v>
      </c>
      <c r="M526" s="26" t="str">
        <f ca="1">IF(Tabela4[[#This Row],[RECOMPRADO]]="RECEBIDO","LIQUIDADO",IF(O526="LIQUIDADO","LIQUIDADO",IF(I526&lt;$I$5,"VENCIDO","A VENCER")))</f>
        <v>VENCIDO</v>
      </c>
      <c r="N526" s="212">
        <f ca="1">IF(Tabela4[[#This Row],[STATUS]]="LIQUIDADO","",Tabela4[[#This Row],[VCTO]]-$I$5)</f>
        <v>-2</v>
      </c>
      <c r="O526" s="11"/>
      <c r="P526" s="11"/>
      <c r="Q526" s="26"/>
      <c r="R526" s="26"/>
      <c r="S526" s="26"/>
      <c r="T526" s="26" t="s">
        <v>644</v>
      </c>
      <c r="U526" s="26"/>
      <c r="V526" s="5"/>
    </row>
    <row r="527" spans="1:22">
      <c r="A527" s="26" t="s">
        <v>0</v>
      </c>
      <c r="B527" s="11">
        <v>46051</v>
      </c>
      <c r="C527" s="11" t="s">
        <v>43</v>
      </c>
      <c r="D527" s="26">
        <v>341</v>
      </c>
      <c r="E527" s="35" t="s">
        <v>96</v>
      </c>
      <c r="F527" s="26" t="s">
        <v>274</v>
      </c>
      <c r="G527" s="225" t="s">
        <v>358</v>
      </c>
      <c r="H527" s="39">
        <v>2133.25</v>
      </c>
      <c r="I527" s="216">
        <v>46106</v>
      </c>
      <c r="J527" s="36" t="s">
        <v>91</v>
      </c>
      <c r="K527" s="26" t="s">
        <v>77</v>
      </c>
      <c r="L527" s="11">
        <v>46052</v>
      </c>
      <c r="M527" s="26" t="str">
        <f ca="1">IF(Tabela4[[#This Row],[RECOMPRADO]]="RECEBIDO","LIQUIDADO",IF(O527="LIQUIDADO","LIQUIDADO",IF(I527&lt;$I$5,"VENCIDO","A VENCER")))</f>
        <v>A VENCER</v>
      </c>
      <c r="N527" s="212">
        <f ca="1">IF(Tabela4[[#This Row],[STATUS]]="LIQUIDADO","",Tabela4[[#This Row],[VCTO]]-$I$5)</f>
        <v>8</v>
      </c>
      <c r="O527" s="11"/>
      <c r="P527" s="11"/>
      <c r="Q527" s="26"/>
      <c r="R527" s="26"/>
      <c r="S527" s="26"/>
      <c r="T527" s="26" t="s">
        <v>494</v>
      </c>
      <c r="U527" s="26"/>
      <c r="V527" s="5"/>
    </row>
    <row r="528" spans="1:22">
      <c r="A528" s="26" t="s">
        <v>0</v>
      </c>
      <c r="B528" s="11">
        <v>46051</v>
      </c>
      <c r="C528" s="11" t="s">
        <v>43</v>
      </c>
      <c r="D528" s="26">
        <v>341</v>
      </c>
      <c r="E528" s="35" t="s">
        <v>97</v>
      </c>
      <c r="F528" s="26" t="s">
        <v>274</v>
      </c>
      <c r="G528" s="225" t="s">
        <v>358</v>
      </c>
      <c r="H528" s="39">
        <v>2133.25</v>
      </c>
      <c r="I528" s="216">
        <v>46116</v>
      </c>
      <c r="J528" s="36" t="s">
        <v>91</v>
      </c>
      <c r="K528" s="26" t="s">
        <v>77</v>
      </c>
      <c r="L528" s="11">
        <v>46052</v>
      </c>
      <c r="M528" s="26" t="str">
        <f ca="1">IF(Tabela4[[#This Row],[RECOMPRADO]]="RECEBIDO","LIQUIDADO",IF(O528="LIQUIDADO","LIQUIDADO",IF(I528&lt;$I$5,"VENCIDO","A VENCER")))</f>
        <v>A VENCER</v>
      </c>
      <c r="N528" s="212">
        <f ca="1">IF(Tabela4[[#This Row],[STATUS]]="LIQUIDADO","",Tabela4[[#This Row],[VCTO]]-$I$5)</f>
        <v>18</v>
      </c>
      <c r="O528" s="224"/>
      <c r="P528" s="11"/>
      <c r="Q528" s="26"/>
      <c r="R528" s="26"/>
      <c r="S528" s="26"/>
      <c r="T528" s="26" t="s">
        <v>494</v>
      </c>
      <c r="U528" s="26"/>
      <c r="V528" s="5"/>
    </row>
    <row r="529" spans="1:22">
      <c r="A529" s="26" t="s">
        <v>0</v>
      </c>
      <c r="B529" s="11">
        <v>46051</v>
      </c>
      <c r="C529" s="11" t="s">
        <v>41</v>
      </c>
      <c r="D529" s="26">
        <v>341</v>
      </c>
      <c r="E529" s="35" t="s">
        <v>92</v>
      </c>
      <c r="F529" s="26" t="s">
        <v>274</v>
      </c>
      <c r="G529" s="225" t="s">
        <v>358</v>
      </c>
      <c r="H529" s="39">
        <v>2778.35</v>
      </c>
      <c r="I529" s="216">
        <v>46086</v>
      </c>
      <c r="J529" s="36" t="s">
        <v>91</v>
      </c>
      <c r="K529" s="26" t="s">
        <v>77</v>
      </c>
      <c r="L529" s="11">
        <v>46052</v>
      </c>
      <c r="M529" s="26" t="str">
        <f>IF(Tabela4[[#This Row],[RECOMPRADO]]="RECEBIDO","LIQUIDADO",IF(O529="LIQUIDADO","LIQUIDADO",IF(I529&lt;$I$5,"VENCIDO","A VENCER")))</f>
        <v>LIQUIDADO</v>
      </c>
      <c r="N529" s="212" t="str">
        <f>IF(Tabela4[[#This Row],[STATUS]]="LIQUIDADO","",Tabela4[[#This Row],[VCTO]]-$I$5)</f>
        <v/>
      </c>
      <c r="O529" s="224" t="s">
        <v>86</v>
      </c>
      <c r="P529" s="11"/>
      <c r="Q529" s="26"/>
      <c r="R529" s="26"/>
      <c r="S529" s="26"/>
      <c r="T529" s="26" t="s">
        <v>494</v>
      </c>
      <c r="U529" s="26"/>
      <c r="V529" s="5"/>
    </row>
    <row r="530" spans="1:22">
      <c r="A530" s="26" t="s">
        <v>0</v>
      </c>
      <c r="B530" s="11">
        <v>46051</v>
      </c>
      <c r="C530" s="11" t="s">
        <v>41</v>
      </c>
      <c r="D530" s="26">
        <v>341</v>
      </c>
      <c r="E530" s="35" t="s">
        <v>95</v>
      </c>
      <c r="F530" s="26" t="s">
        <v>274</v>
      </c>
      <c r="G530" s="225" t="s">
        <v>358</v>
      </c>
      <c r="H530" s="39">
        <v>2133.25</v>
      </c>
      <c r="I530" s="216">
        <v>46096</v>
      </c>
      <c r="J530" s="36" t="s">
        <v>91</v>
      </c>
      <c r="K530" s="26" t="s">
        <v>77</v>
      </c>
      <c r="L530" s="11">
        <v>46052</v>
      </c>
      <c r="M530" s="26" t="str">
        <f ca="1">IF(Tabela4[[#This Row],[RECOMPRADO]]="RECEBIDO","LIQUIDADO",IF(O530="LIQUIDADO","LIQUIDADO",IF(I530&lt;$I$5,"VENCIDO","A VENCER")))</f>
        <v>VENCIDO</v>
      </c>
      <c r="N530" s="212">
        <f ca="1">IF(Tabela4[[#This Row],[STATUS]]="LIQUIDADO","",Tabela4[[#This Row],[VCTO]]-$I$5)</f>
        <v>-2</v>
      </c>
      <c r="O530" s="224"/>
      <c r="P530" s="11"/>
      <c r="Q530" s="26"/>
      <c r="R530" s="26"/>
      <c r="S530" s="26"/>
      <c r="T530" s="26" t="s">
        <v>645</v>
      </c>
      <c r="U530" s="26"/>
      <c r="V530" s="5"/>
    </row>
    <row r="531" spans="1:22">
      <c r="A531" s="26" t="s">
        <v>0</v>
      </c>
      <c r="B531" s="11">
        <v>46051</v>
      </c>
      <c r="C531" s="11" t="s">
        <v>41</v>
      </c>
      <c r="D531" s="26">
        <v>341</v>
      </c>
      <c r="E531" s="35" t="s">
        <v>96</v>
      </c>
      <c r="F531" s="26" t="s">
        <v>274</v>
      </c>
      <c r="G531" s="225" t="s">
        <v>358</v>
      </c>
      <c r="H531" s="39">
        <v>2133.25</v>
      </c>
      <c r="I531" s="216">
        <v>46106</v>
      </c>
      <c r="J531" s="36" t="s">
        <v>91</v>
      </c>
      <c r="K531" s="26" t="s">
        <v>77</v>
      </c>
      <c r="L531" s="11">
        <v>46052</v>
      </c>
      <c r="M531" s="26" t="str">
        <f ca="1">IF(Tabela4[[#This Row],[RECOMPRADO]]="RECEBIDO","LIQUIDADO",IF(O531="LIQUIDADO","LIQUIDADO",IF(I531&lt;$I$5,"VENCIDO","A VENCER")))</f>
        <v>A VENCER</v>
      </c>
      <c r="N531" s="212">
        <f ca="1">IF(Tabela4[[#This Row],[STATUS]]="LIQUIDADO","",Tabela4[[#This Row],[VCTO]]-$I$5)</f>
        <v>8</v>
      </c>
      <c r="O531" s="11"/>
      <c r="P531" s="11"/>
      <c r="Q531" s="26"/>
      <c r="R531" s="26"/>
      <c r="S531" s="26"/>
      <c r="T531" s="26" t="s">
        <v>494</v>
      </c>
      <c r="U531" s="26"/>
      <c r="V531" s="5"/>
    </row>
    <row r="532" spans="1:22">
      <c r="A532" s="26" t="s">
        <v>0</v>
      </c>
      <c r="B532" s="11">
        <v>46051</v>
      </c>
      <c r="C532" s="11" t="s">
        <v>41</v>
      </c>
      <c r="D532" s="26">
        <v>341</v>
      </c>
      <c r="E532" s="35" t="s">
        <v>97</v>
      </c>
      <c r="F532" s="26" t="s">
        <v>274</v>
      </c>
      <c r="G532" s="225" t="s">
        <v>358</v>
      </c>
      <c r="H532" s="39">
        <v>2133.25</v>
      </c>
      <c r="I532" s="216">
        <v>46116</v>
      </c>
      <c r="J532" s="36" t="s">
        <v>91</v>
      </c>
      <c r="K532" s="26" t="s">
        <v>77</v>
      </c>
      <c r="L532" s="11">
        <v>46052</v>
      </c>
      <c r="M532" s="26" t="str">
        <f ca="1">IF(Tabela4[[#This Row],[RECOMPRADO]]="RECEBIDO","LIQUIDADO",IF(O532="LIQUIDADO","LIQUIDADO",IF(I532&lt;$I$5,"VENCIDO","A VENCER")))</f>
        <v>A VENCER</v>
      </c>
      <c r="N532" s="212">
        <f ca="1">IF(Tabela4[[#This Row],[STATUS]]="LIQUIDADO","",Tabela4[[#This Row],[VCTO]]-$I$5)</f>
        <v>18</v>
      </c>
      <c r="O532" s="11"/>
      <c r="P532" s="11"/>
      <c r="Q532" s="26"/>
      <c r="R532" s="26"/>
      <c r="S532" s="26"/>
      <c r="T532" s="26" t="s">
        <v>494</v>
      </c>
      <c r="U532" s="26"/>
      <c r="V532" s="5"/>
    </row>
    <row r="533" spans="1:22">
      <c r="A533" s="26" t="s">
        <v>0</v>
      </c>
      <c r="B533" s="11">
        <v>46052</v>
      </c>
      <c r="C533" s="11" t="s">
        <v>41</v>
      </c>
      <c r="D533" s="26">
        <v>342</v>
      </c>
      <c r="E533" s="35" t="s">
        <v>92</v>
      </c>
      <c r="F533" s="26" t="s">
        <v>268</v>
      </c>
      <c r="G533" s="225">
        <v>22269466000120</v>
      </c>
      <c r="H533" s="39">
        <v>1727.87</v>
      </c>
      <c r="I533" s="216">
        <v>46086</v>
      </c>
      <c r="J533" s="36" t="s">
        <v>91</v>
      </c>
      <c r="K533" s="26" t="s">
        <v>77</v>
      </c>
      <c r="L533" s="11">
        <v>46052</v>
      </c>
      <c r="M533" s="26" t="str">
        <f>IF(Tabela4[[#This Row],[RECOMPRADO]]="RECEBIDO","LIQUIDADO",IF(O533="LIQUIDADO","LIQUIDADO",IF(I533&lt;$I$5,"VENCIDO","A VENCER")))</f>
        <v>LIQUIDADO</v>
      </c>
      <c r="N533" s="212" t="str">
        <f>IF(Tabela4[[#This Row],[STATUS]]="LIQUIDADO","",Tabela4[[#This Row],[VCTO]]-$I$5)</f>
        <v/>
      </c>
      <c r="O533" s="11" t="s">
        <v>86</v>
      </c>
      <c r="P533" s="11"/>
      <c r="Q533" s="26"/>
      <c r="R533" s="26"/>
      <c r="S533" s="26"/>
      <c r="T533" s="26" t="s">
        <v>585</v>
      </c>
      <c r="U533" s="26"/>
      <c r="V533" s="5"/>
    </row>
    <row r="534" spans="1:22" ht="20.25" customHeight="1">
      <c r="A534" s="26" t="s">
        <v>0</v>
      </c>
      <c r="B534" s="11">
        <v>46052</v>
      </c>
      <c r="C534" s="11" t="s">
        <v>41</v>
      </c>
      <c r="D534" s="26">
        <v>342</v>
      </c>
      <c r="E534" s="10" t="s">
        <v>95</v>
      </c>
      <c r="F534" s="26" t="s">
        <v>268</v>
      </c>
      <c r="G534" s="220">
        <v>22269466000120</v>
      </c>
      <c r="H534" s="39">
        <v>1317.58</v>
      </c>
      <c r="I534" s="216">
        <v>46093</v>
      </c>
      <c r="J534" s="7" t="s">
        <v>91</v>
      </c>
      <c r="K534" s="26" t="s">
        <v>77</v>
      </c>
      <c r="L534" s="6">
        <v>46052</v>
      </c>
      <c r="M534" s="5" t="str">
        <f ca="1">IF(Tabela4[[#This Row],[RECOMPRADO]]="RECEBIDO","LIQUIDADO",IF(O534="LIQUIDADO","LIQUIDADO",IF(I534&lt;$I$5,"VENCIDO","A VENCER")))</f>
        <v>VENCIDO</v>
      </c>
      <c r="N534" s="211">
        <f ca="1">IF(Tabela4[[#This Row],[STATUS]]="LIQUIDADO","",Tabela4[[#This Row],[VCTO]]-$I$5)</f>
        <v>-5</v>
      </c>
      <c r="O534" s="219"/>
      <c r="P534" s="6"/>
      <c r="Q534" s="5"/>
      <c r="R534" s="5"/>
      <c r="S534" s="5"/>
      <c r="T534" s="5" t="s">
        <v>637</v>
      </c>
      <c r="U534" s="5"/>
      <c r="V534" s="5"/>
    </row>
    <row r="535" spans="1:22">
      <c r="A535" s="26" t="s">
        <v>0</v>
      </c>
      <c r="B535" s="11">
        <v>46052</v>
      </c>
      <c r="C535" s="11" t="s">
        <v>41</v>
      </c>
      <c r="D535" s="26">
        <v>342</v>
      </c>
      <c r="E535" s="35" t="s">
        <v>96</v>
      </c>
      <c r="F535" s="26" t="s">
        <v>268</v>
      </c>
      <c r="G535" s="225">
        <v>22269466000120</v>
      </c>
      <c r="H535" s="39">
        <v>1317.58</v>
      </c>
      <c r="I535" s="216">
        <v>46100</v>
      </c>
      <c r="J535" s="36" t="s">
        <v>91</v>
      </c>
      <c r="K535" s="26" t="s">
        <v>77</v>
      </c>
      <c r="L535" s="11">
        <v>46052</v>
      </c>
      <c r="M535" s="26" t="str">
        <f ca="1">IF(Tabela4[[#This Row],[RECOMPRADO]]="RECEBIDO","LIQUIDADO",IF(O535="LIQUIDADO","LIQUIDADO",IF(I535&lt;$I$5,"VENCIDO","A VENCER")))</f>
        <v>A VENCER</v>
      </c>
      <c r="N535" s="212">
        <f ca="1">IF(Tabela4[[#This Row],[STATUS]]="LIQUIDADO","",Tabela4[[#This Row],[VCTO]]-$I$5)</f>
        <v>2</v>
      </c>
      <c r="O535" s="224"/>
      <c r="P535" s="11"/>
      <c r="Q535" s="26"/>
      <c r="R535" s="26"/>
      <c r="S535" s="26"/>
      <c r="T535" s="5"/>
      <c r="U535" s="5"/>
      <c r="V535" s="5"/>
    </row>
    <row r="536" spans="1:22">
      <c r="A536" s="5" t="s">
        <v>0</v>
      </c>
      <c r="B536" s="6">
        <v>46052</v>
      </c>
      <c r="C536" s="6" t="s">
        <v>43</v>
      </c>
      <c r="D536" s="5">
        <v>342</v>
      </c>
      <c r="E536" s="10" t="s">
        <v>92</v>
      </c>
      <c r="F536" s="5" t="s">
        <v>268</v>
      </c>
      <c r="G536" s="225">
        <v>22269466000120</v>
      </c>
      <c r="H536" s="39">
        <v>1317.58</v>
      </c>
      <c r="I536" s="217">
        <v>46086</v>
      </c>
      <c r="J536" s="7" t="s">
        <v>91</v>
      </c>
      <c r="K536" s="26" t="s">
        <v>77</v>
      </c>
      <c r="L536" s="6">
        <v>46052</v>
      </c>
      <c r="M536" s="5" t="str">
        <f>IF(Tabela4[[#This Row],[RECOMPRADO]]="RECEBIDO","LIQUIDADO",IF(O536="LIQUIDADO","LIQUIDADO",IF(I536&lt;$I$5,"VENCIDO","A VENCER")))</f>
        <v>LIQUIDADO</v>
      </c>
      <c r="N536" s="211" t="str">
        <f>IF(Tabela4[[#This Row],[STATUS]]="LIQUIDADO","",Tabela4[[#This Row],[VCTO]]-$I$5)</f>
        <v/>
      </c>
      <c r="O536" s="219" t="s">
        <v>86</v>
      </c>
      <c r="P536" s="6"/>
      <c r="Q536" s="5"/>
      <c r="R536" s="5"/>
      <c r="S536" s="5"/>
      <c r="T536" s="26" t="s">
        <v>585</v>
      </c>
      <c r="U536" s="26"/>
      <c r="V536" s="5"/>
    </row>
    <row r="537" spans="1:22">
      <c r="A537" s="5" t="s">
        <v>0</v>
      </c>
      <c r="B537" s="6">
        <v>46052</v>
      </c>
      <c r="C537" s="11" t="s">
        <v>43</v>
      </c>
      <c r="D537" s="26">
        <v>342</v>
      </c>
      <c r="E537" s="35" t="s">
        <v>95</v>
      </c>
      <c r="F537" s="5" t="s">
        <v>268</v>
      </c>
      <c r="G537" s="225">
        <v>22269466000120</v>
      </c>
      <c r="H537" s="39">
        <v>1317.58</v>
      </c>
      <c r="I537" s="216">
        <v>46093</v>
      </c>
      <c r="J537" s="36" t="s">
        <v>91</v>
      </c>
      <c r="K537" s="26" t="s">
        <v>77</v>
      </c>
      <c r="L537" s="11">
        <v>46052</v>
      </c>
      <c r="M537" s="26" t="str">
        <f ca="1">IF(Tabela4[[#This Row],[RECOMPRADO]]="RECEBIDO","LIQUIDADO",IF(O537="LIQUIDADO","LIQUIDADO",IF(I537&lt;$I$5,"VENCIDO","A VENCER")))</f>
        <v>VENCIDO</v>
      </c>
      <c r="N537" s="212">
        <f ca="1">IF(Tabela4[[#This Row],[STATUS]]="LIQUIDADO","",Tabela4[[#This Row],[VCTO]]-$I$5)</f>
        <v>-5</v>
      </c>
      <c r="O537" s="11"/>
      <c r="P537" s="11"/>
      <c r="Q537" s="26"/>
      <c r="R537" s="26"/>
      <c r="S537" s="26"/>
      <c r="T537" s="5" t="s">
        <v>637</v>
      </c>
      <c r="U537" s="5"/>
      <c r="V537" s="5"/>
    </row>
    <row r="538" spans="1:22">
      <c r="A538" s="26" t="s">
        <v>0</v>
      </c>
      <c r="B538" s="11">
        <v>46052</v>
      </c>
      <c r="C538" s="6" t="s">
        <v>43</v>
      </c>
      <c r="D538" s="26">
        <v>342</v>
      </c>
      <c r="E538" s="35" t="s">
        <v>96</v>
      </c>
      <c r="F538" s="26" t="s">
        <v>268</v>
      </c>
      <c r="G538" s="220">
        <v>22269466000120</v>
      </c>
      <c r="H538" s="39">
        <v>1317.58</v>
      </c>
      <c r="I538" s="216">
        <v>46100</v>
      </c>
      <c r="J538" s="7" t="s">
        <v>91</v>
      </c>
      <c r="K538" s="26" t="s">
        <v>77</v>
      </c>
      <c r="L538" s="6">
        <v>46052</v>
      </c>
      <c r="M538" s="5" t="str">
        <f ca="1">IF(Tabela4[[#This Row],[RECOMPRADO]]="RECEBIDO","LIQUIDADO",IF(O538="LIQUIDADO","LIQUIDADO",IF(I538&lt;$I$5,"VENCIDO","A VENCER")))</f>
        <v>A VENCER</v>
      </c>
      <c r="N538" s="211">
        <f ca="1">IF(Tabela4[[#This Row],[STATUS]]="LIQUIDADO","",Tabela4[[#This Row],[VCTO]]-$I$5)</f>
        <v>2</v>
      </c>
      <c r="O538" s="6"/>
      <c r="P538" s="6"/>
      <c r="Q538" s="5"/>
      <c r="R538" s="5"/>
      <c r="S538" s="5"/>
      <c r="T538" s="5"/>
      <c r="U538" s="5"/>
      <c r="V538" s="5"/>
    </row>
    <row r="539" spans="1:22">
      <c r="A539" s="5" t="s">
        <v>0</v>
      </c>
      <c r="B539" s="6">
        <v>46052</v>
      </c>
      <c r="C539" s="6" t="s">
        <v>43</v>
      </c>
      <c r="D539" s="26">
        <v>342</v>
      </c>
      <c r="E539" s="35" t="s">
        <v>97</v>
      </c>
      <c r="F539" s="5" t="s">
        <v>268</v>
      </c>
      <c r="G539" s="220">
        <v>22269466000120</v>
      </c>
      <c r="H539" s="39">
        <v>1317.58</v>
      </c>
      <c r="I539" s="216">
        <v>46107</v>
      </c>
      <c r="J539" s="7" t="s">
        <v>91</v>
      </c>
      <c r="K539" s="26" t="s">
        <v>77</v>
      </c>
      <c r="L539" s="6">
        <v>46052</v>
      </c>
      <c r="M539" s="5" t="str">
        <f ca="1">IF(Tabela4[[#This Row],[RECOMPRADO]]="RECEBIDO","LIQUIDADO",IF(O539="LIQUIDADO","LIQUIDADO",IF(I539&lt;$I$5,"VENCIDO","A VENCER")))</f>
        <v>A VENCER</v>
      </c>
      <c r="N539" s="211">
        <f ca="1">IF(Tabela4[[#This Row],[STATUS]]="LIQUIDADO","",Tabela4[[#This Row],[VCTO]]-$I$5)</f>
        <v>9</v>
      </c>
      <c r="O539" s="6"/>
      <c r="P539" s="6"/>
      <c r="Q539" s="5"/>
      <c r="R539" s="5"/>
      <c r="S539" s="5"/>
      <c r="T539" s="5"/>
      <c r="U539" s="5"/>
      <c r="V539" s="5"/>
    </row>
    <row r="540" spans="1:22">
      <c r="A540" s="26" t="s">
        <v>0</v>
      </c>
      <c r="B540" s="11">
        <v>46052</v>
      </c>
      <c r="C540" s="6" t="s">
        <v>41</v>
      </c>
      <c r="D540" s="26">
        <v>342</v>
      </c>
      <c r="E540" s="236" t="s">
        <v>97</v>
      </c>
      <c r="F540" s="26" t="s">
        <v>268</v>
      </c>
      <c r="G540" s="220">
        <v>22269466000120</v>
      </c>
      <c r="H540" s="39">
        <v>1317.58</v>
      </c>
      <c r="I540" s="216">
        <v>46107</v>
      </c>
      <c r="J540" s="7" t="s">
        <v>91</v>
      </c>
      <c r="K540" s="26" t="s">
        <v>77</v>
      </c>
      <c r="L540" s="6">
        <v>46052</v>
      </c>
      <c r="M540" s="5" t="str">
        <f ca="1">IF(Tabela4[[#This Row],[RECOMPRADO]]="RECEBIDO","LIQUIDADO",IF(O540="LIQUIDADO","LIQUIDADO",IF(I540&lt;$I$5,"VENCIDO","A VENCER")))</f>
        <v>A VENCER</v>
      </c>
      <c r="N540" s="211">
        <f ca="1">IF(Tabela4[[#This Row],[STATUS]]="LIQUIDADO","",Tabela4[[#This Row],[VCTO]]-$I$5)</f>
        <v>9</v>
      </c>
      <c r="O540" s="219"/>
      <c r="P540" s="6"/>
      <c r="Q540" s="5"/>
      <c r="R540" s="5"/>
      <c r="S540" s="5"/>
      <c r="T540" s="5"/>
      <c r="U540" s="5"/>
      <c r="V540" s="5"/>
    </row>
    <row r="541" spans="1:22">
      <c r="A541" s="5" t="s">
        <v>0</v>
      </c>
      <c r="B541" s="6">
        <v>46052</v>
      </c>
      <c r="C541" s="6" t="s">
        <v>41</v>
      </c>
      <c r="D541" s="26">
        <v>343</v>
      </c>
      <c r="E541" s="35" t="s">
        <v>92</v>
      </c>
      <c r="F541" s="5" t="s">
        <v>275</v>
      </c>
      <c r="G541" s="220">
        <v>8321252000205</v>
      </c>
      <c r="H541" s="39">
        <v>2619.33</v>
      </c>
      <c r="I541" s="216">
        <v>46080</v>
      </c>
      <c r="J541" s="7" t="s">
        <v>91</v>
      </c>
      <c r="K541" s="5" t="s">
        <v>381</v>
      </c>
      <c r="L541" s="6">
        <v>46052</v>
      </c>
      <c r="M541" s="5" t="str">
        <f>IF(Tabela4[[#This Row],[RECOMPRADO]]="RECEBIDO","LIQUIDADO",IF(O541="LIQUIDADO","LIQUIDADO",IF(I541&lt;$I$5,"VENCIDO","A VENCER")))</f>
        <v>LIQUIDADO</v>
      </c>
      <c r="N541" s="211" t="str">
        <f>IF(Tabela4[[#This Row],[STATUS]]="LIQUIDADO","",Tabela4[[#This Row],[VCTO]]-$I$5)</f>
        <v/>
      </c>
      <c r="O541" s="219" t="s">
        <v>86</v>
      </c>
      <c r="P541" s="6"/>
      <c r="Q541" s="5"/>
      <c r="R541" s="5"/>
      <c r="S541" s="5"/>
      <c r="T541" s="5" t="s">
        <v>565</v>
      </c>
      <c r="U541" s="5"/>
      <c r="V541" s="5"/>
    </row>
    <row r="542" spans="1:22">
      <c r="A542" s="26" t="s">
        <v>0</v>
      </c>
      <c r="B542" s="11">
        <v>46052</v>
      </c>
      <c r="C542" s="6" t="s">
        <v>41</v>
      </c>
      <c r="D542" s="26">
        <v>343</v>
      </c>
      <c r="E542" s="35" t="s">
        <v>95</v>
      </c>
      <c r="F542" s="26" t="s">
        <v>275</v>
      </c>
      <c r="G542" s="220">
        <v>8321252000205</v>
      </c>
      <c r="H542" s="39">
        <v>2619.33</v>
      </c>
      <c r="I542" s="216">
        <v>46087</v>
      </c>
      <c r="J542" s="7" t="s">
        <v>91</v>
      </c>
      <c r="K542" s="26" t="s">
        <v>381</v>
      </c>
      <c r="L542" s="6">
        <v>46052</v>
      </c>
      <c r="M542" s="5" t="str">
        <f>IF(Tabela4[[#This Row],[RECOMPRADO]]="RECEBIDO","LIQUIDADO",IF(O542="LIQUIDADO","LIQUIDADO",IF(I542&lt;$I$5,"VENCIDO","A VENCER")))</f>
        <v>LIQUIDADO</v>
      </c>
      <c r="N542" s="211" t="str">
        <f>IF(Tabela4[[#This Row],[STATUS]]="LIQUIDADO","",Tabela4[[#This Row],[VCTO]]-$I$5)</f>
        <v/>
      </c>
      <c r="O542" s="219" t="s">
        <v>86</v>
      </c>
      <c r="P542" s="6"/>
      <c r="Q542" s="5"/>
      <c r="R542" s="5"/>
      <c r="S542" s="5"/>
      <c r="T542" s="5"/>
      <c r="U542" s="5"/>
      <c r="V542" s="5"/>
    </row>
    <row r="543" spans="1:22">
      <c r="A543" s="5" t="s">
        <v>0</v>
      </c>
      <c r="B543" s="6">
        <v>46052</v>
      </c>
      <c r="C543" s="6" t="s">
        <v>41</v>
      </c>
      <c r="D543" s="26">
        <v>343</v>
      </c>
      <c r="E543" s="35" t="s">
        <v>96</v>
      </c>
      <c r="F543" s="5" t="s">
        <v>275</v>
      </c>
      <c r="G543" s="220">
        <v>8321252000205</v>
      </c>
      <c r="H543" s="39">
        <v>2619.34</v>
      </c>
      <c r="I543" s="216">
        <v>46094</v>
      </c>
      <c r="J543" s="7" t="s">
        <v>91</v>
      </c>
      <c r="K543" s="5" t="s">
        <v>381</v>
      </c>
      <c r="L543" s="6">
        <v>46052</v>
      </c>
      <c r="M543" s="5" t="str">
        <f>IF(Tabela4[[#This Row],[RECOMPRADO]]="RECEBIDO","LIQUIDADO",IF(O543="LIQUIDADO","LIQUIDADO",IF(I543&lt;$I$5,"VENCIDO","A VENCER")))</f>
        <v>LIQUIDADO</v>
      </c>
      <c r="N543" s="211" t="str">
        <f>IF(Tabela4[[#This Row],[STATUS]]="LIQUIDADO","",Tabela4[[#This Row],[VCTO]]-$I$5)</f>
        <v/>
      </c>
      <c r="O543" s="6" t="s">
        <v>86</v>
      </c>
      <c r="P543" s="6"/>
      <c r="Q543" s="5"/>
      <c r="R543" s="5"/>
      <c r="S543" s="5"/>
      <c r="T543" s="5"/>
      <c r="U543" s="5"/>
      <c r="V543" s="5"/>
    </row>
    <row r="544" spans="1:22">
      <c r="A544" s="26" t="s">
        <v>0</v>
      </c>
      <c r="B544" s="11">
        <v>46052</v>
      </c>
      <c r="C544" s="6" t="s">
        <v>41</v>
      </c>
      <c r="D544" s="26">
        <v>344</v>
      </c>
      <c r="E544" s="35" t="s">
        <v>92</v>
      </c>
      <c r="F544" s="26" t="s">
        <v>267</v>
      </c>
      <c r="G544" s="220">
        <v>20891953000102</v>
      </c>
      <c r="H544" s="39">
        <v>2673</v>
      </c>
      <c r="I544" s="216">
        <v>46107</v>
      </c>
      <c r="J544" s="7" t="s">
        <v>91</v>
      </c>
      <c r="K544" s="26" t="s">
        <v>381</v>
      </c>
      <c r="L544" s="6">
        <v>46052</v>
      </c>
      <c r="M544" s="5" t="str">
        <f ca="1">IF(Tabela4[[#This Row],[RECOMPRADO]]="RECEBIDO","LIQUIDADO",IF(O544="LIQUIDADO","LIQUIDADO",IF(I544&lt;$I$5,"VENCIDO","A VENCER")))</f>
        <v>A VENCER</v>
      </c>
      <c r="N544" s="211">
        <f ca="1">IF(Tabela4[[#This Row],[STATUS]]="LIQUIDADO","",Tabela4[[#This Row],[VCTO]]-$I$5)</f>
        <v>9</v>
      </c>
      <c r="O544" s="6"/>
      <c r="P544" s="6"/>
      <c r="Q544" s="5"/>
      <c r="R544" s="5"/>
      <c r="S544" s="5"/>
      <c r="T544" s="5"/>
      <c r="U544" s="5"/>
      <c r="V544" s="5"/>
    </row>
    <row r="545" spans="1:22">
      <c r="A545" s="5" t="s">
        <v>0</v>
      </c>
      <c r="B545" s="6">
        <v>46052</v>
      </c>
      <c r="C545" s="6" t="s">
        <v>41</v>
      </c>
      <c r="D545" s="26">
        <v>344</v>
      </c>
      <c r="E545" s="35" t="s">
        <v>95</v>
      </c>
      <c r="F545" s="5" t="s">
        <v>267</v>
      </c>
      <c r="G545" s="220">
        <v>20891953000102</v>
      </c>
      <c r="H545" s="39">
        <v>2673</v>
      </c>
      <c r="I545" s="216">
        <v>46122</v>
      </c>
      <c r="J545" s="7" t="s">
        <v>91</v>
      </c>
      <c r="K545" s="5" t="s">
        <v>381</v>
      </c>
      <c r="L545" s="6">
        <v>46052</v>
      </c>
      <c r="M545" s="5" t="str">
        <f ca="1">IF(Tabela4[[#This Row],[RECOMPRADO]]="RECEBIDO","LIQUIDADO",IF(O545="LIQUIDADO","LIQUIDADO",IF(I545&lt;$I$5,"VENCIDO","A VENCER")))</f>
        <v>A VENCER</v>
      </c>
      <c r="N545" s="211">
        <f ca="1">IF(Tabela4[[#This Row],[STATUS]]="LIQUIDADO","",Tabela4[[#This Row],[VCTO]]-$I$5)</f>
        <v>24</v>
      </c>
      <c r="O545" s="6"/>
      <c r="P545" s="6"/>
      <c r="Q545" s="5"/>
      <c r="R545" s="5"/>
      <c r="S545" s="5"/>
      <c r="T545" s="5"/>
      <c r="U545" s="5"/>
      <c r="V545" s="5"/>
    </row>
    <row r="546" spans="1:22">
      <c r="A546" s="26" t="s">
        <v>0</v>
      </c>
      <c r="B546" s="11">
        <v>46052</v>
      </c>
      <c r="C546" s="6" t="s">
        <v>41</v>
      </c>
      <c r="D546" s="26">
        <v>344</v>
      </c>
      <c r="E546" s="35" t="s">
        <v>96</v>
      </c>
      <c r="F546" s="26" t="s">
        <v>267</v>
      </c>
      <c r="G546" s="220">
        <v>20891953000102</v>
      </c>
      <c r="H546" s="39">
        <v>2673</v>
      </c>
      <c r="I546" s="216">
        <v>46137</v>
      </c>
      <c r="J546" s="7" t="s">
        <v>91</v>
      </c>
      <c r="K546" s="26" t="s">
        <v>381</v>
      </c>
      <c r="L546" s="6">
        <v>46052</v>
      </c>
      <c r="M546" s="5" t="str">
        <f ca="1">IF(Tabela4[[#This Row],[RECOMPRADO]]="RECEBIDO","LIQUIDADO",IF(O546="LIQUIDADO","LIQUIDADO",IF(I546&lt;$I$5,"VENCIDO","A VENCER")))</f>
        <v>A VENCER</v>
      </c>
      <c r="N546" s="211">
        <f ca="1">IF(Tabela4[[#This Row],[STATUS]]="LIQUIDADO","",Tabela4[[#This Row],[VCTO]]-$I$5)</f>
        <v>39</v>
      </c>
      <c r="O546" s="219"/>
      <c r="P546" s="6"/>
      <c r="Q546" s="5"/>
      <c r="R546" s="5"/>
      <c r="S546" s="5"/>
      <c r="T546" s="5"/>
      <c r="U546" s="5"/>
      <c r="V546" s="5"/>
    </row>
    <row r="547" spans="1:22">
      <c r="A547" s="5" t="s">
        <v>0</v>
      </c>
      <c r="B547" s="6">
        <v>46052</v>
      </c>
      <c r="C547" s="6" t="s">
        <v>41</v>
      </c>
      <c r="D547" s="26">
        <v>344</v>
      </c>
      <c r="E547" s="35" t="s">
        <v>97</v>
      </c>
      <c r="F547" s="5" t="s">
        <v>267</v>
      </c>
      <c r="G547" s="220">
        <v>20891953000102</v>
      </c>
      <c r="H547" s="39">
        <v>2673</v>
      </c>
      <c r="I547" s="216">
        <v>46152</v>
      </c>
      <c r="J547" s="7" t="s">
        <v>91</v>
      </c>
      <c r="K547" s="5" t="s">
        <v>381</v>
      </c>
      <c r="L547" s="6">
        <v>46052</v>
      </c>
      <c r="M547" s="5" t="str">
        <f ca="1">IF(Tabela4[[#This Row],[RECOMPRADO]]="RECEBIDO","LIQUIDADO",IF(O547="LIQUIDADO","LIQUIDADO",IF(I547&lt;$I$5,"VENCIDO","A VENCER")))</f>
        <v>A VENCER</v>
      </c>
      <c r="N547" s="211">
        <f ca="1">IF(Tabela4[[#This Row],[STATUS]]="LIQUIDADO","",Tabela4[[#This Row],[VCTO]]-$I$5)</f>
        <v>54</v>
      </c>
      <c r="O547" s="219"/>
      <c r="P547" s="6"/>
      <c r="Q547" s="5"/>
      <c r="R547" s="5"/>
      <c r="S547" s="5"/>
      <c r="T547" s="5"/>
      <c r="U547" s="5"/>
      <c r="V547" s="5"/>
    </row>
    <row r="548" spans="1:22">
      <c r="A548" s="26" t="s">
        <v>0</v>
      </c>
      <c r="B548" s="11">
        <v>46052</v>
      </c>
      <c r="C548" s="6" t="s">
        <v>43</v>
      </c>
      <c r="D548" s="26">
        <v>344</v>
      </c>
      <c r="E548" s="35" t="s">
        <v>92</v>
      </c>
      <c r="F548" s="26" t="s">
        <v>267</v>
      </c>
      <c r="G548" s="220">
        <v>20891953000102</v>
      </c>
      <c r="H548" s="39">
        <v>2673</v>
      </c>
      <c r="I548" s="216">
        <v>46107</v>
      </c>
      <c r="J548" s="7" t="s">
        <v>91</v>
      </c>
      <c r="K548" s="26" t="s">
        <v>381</v>
      </c>
      <c r="L548" s="6">
        <v>46052</v>
      </c>
      <c r="M548" s="5" t="str">
        <f ca="1">IF(Tabela4[[#This Row],[RECOMPRADO]]="RECEBIDO","LIQUIDADO",IF(O548="LIQUIDADO","LIQUIDADO",IF(I548&lt;$I$5,"VENCIDO","A VENCER")))</f>
        <v>A VENCER</v>
      </c>
      <c r="N548" s="211">
        <f ca="1">IF(Tabela4[[#This Row],[STATUS]]="LIQUIDADO","",Tabela4[[#This Row],[VCTO]]-$I$5)</f>
        <v>9</v>
      </c>
      <c r="O548" s="219"/>
      <c r="P548" s="6"/>
      <c r="Q548" s="5"/>
      <c r="R548" s="5"/>
      <c r="S548" s="5"/>
      <c r="T548" s="5"/>
      <c r="U548" s="5"/>
      <c r="V548" s="5"/>
    </row>
    <row r="549" spans="1:22">
      <c r="A549" s="5" t="s">
        <v>0</v>
      </c>
      <c r="B549" s="6">
        <v>46052</v>
      </c>
      <c r="C549" s="6" t="s">
        <v>43</v>
      </c>
      <c r="D549" s="26">
        <v>344</v>
      </c>
      <c r="E549" s="35" t="s">
        <v>95</v>
      </c>
      <c r="F549" s="5" t="s">
        <v>267</v>
      </c>
      <c r="G549" s="220">
        <v>20891953000102</v>
      </c>
      <c r="H549" s="39">
        <v>2673</v>
      </c>
      <c r="I549" s="216">
        <v>46122</v>
      </c>
      <c r="J549" s="7" t="s">
        <v>91</v>
      </c>
      <c r="K549" s="5" t="s">
        <v>381</v>
      </c>
      <c r="L549" s="6">
        <v>46052</v>
      </c>
      <c r="M549" s="5" t="str">
        <f ca="1">IF(Tabela4[[#This Row],[RECOMPRADO]]="RECEBIDO","LIQUIDADO",IF(O549="LIQUIDADO","LIQUIDADO",IF(I549&lt;$I$5,"VENCIDO","A VENCER")))</f>
        <v>A VENCER</v>
      </c>
      <c r="N549" s="211">
        <f ca="1">IF(Tabela4[[#This Row],[STATUS]]="LIQUIDADO","",Tabela4[[#This Row],[VCTO]]-$I$5)</f>
        <v>24</v>
      </c>
      <c r="O549" s="6"/>
      <c r="P549" s="6"/>
      <c r="Q549" s="5"/>
      <c r="R549" s="5"/>
      <c r="S549" s="5"/>
      <c r="T549" s="5"/>
      <c r="U549" s="5"/>
      <c r="V549" s="5"/>
    </row>
    <row r="550" spans="1:22">
      <c r="A550" s="26" t="s">
        <v>0</v>
      </c>
      <c r="B550" s="11">
        <v>46052</v>
      </c>
      <c r="C550" s="6" t="s">
        <v>43</v>
      </c>
      <c r="D550" s="26">
        <v>344</v>
      </c>
      <c r="E550" s="35" t="s">
        <v>96</v>
      </c>
      <c r="F550" s="26" t="s">
        <v>267</v>
      </c>
      <c r="G550" s="220">
        <v>20891953000102</v>
      </c>
      <c r="H550" s="39">
        <v>2673</v>
      </c>
      <c r="I550" s="216">
        <v>46137</v>
      </c>
      <c r="J550" s="7" t="s">
        <v>91</v>
      </c>
      <c r="K550" s="26" t="s">
        <v>381</v>
      </c>
      <c r="L550" s="6">
        <v>46052</v>
      </c>
      <c r="M550" s="5" t="str">
        <f ca="1">IF(Tabela4[[#This Row],[RECOMPRADO]]="RECEBIDO","LIQUIDADO",IF(O550="LIQUIDADO","LIQUIDADO",IF(I550&lt;$I$5,"VENCIDO","A VENCER")))</f>
        <v>A VENCER</v>
      </c>
      <c r="N550" s="211">
        <f ca="1">IF(Tabela4[[#This Row],[STATUS]]="LIQUIDADO","",Tabela4[[#This Row],[VCTO]]-$I$5)</f>
        <v>39</v>
      </c>
      <c r="O550" s="6"/>
      <c r="P550" s="6"/>
      <c r="Q550" s="5"/>
      <c r="R550" s="5"/>
      <c r="S550" s="5"/>
      <c r="T550" s="5"/>
      <c r="U550" s="5"/>
      <c r="V550" s="5"/>
    </row>
    <row r="551" spans="1:22">
      <c r="A551" s="26" t="s">
        <v>0</v>
      </c>
      <c r="B551" s="11">
        <v>46052</v>
      </c>
      <c r="C551" s="6" t="s">
        <v>43</v>
      </c>
      <c r="D551" s="26">
        <v>344</v>
      </c>
      <c r="E551" s="35" t="s">
        <v>97</v>
      </c>
      <c r="F551" s="26" t="s">
        <v>267</v>
      </c>
      <c r="G551" s="220">
        <v>20891953000102</v>
      </c>
      <c r="H551" s="39">
        <v>2673</v>
      </c>
      <c r="I551" s="216">
        <v>46152</v>
      </c>
      <c r="J551" s="7" t="s">
        <v>91</v>
      </c>
      <c r="K551" s="26" t="s">
        <v>381</v>
      </c>
      <c r="L551" s="6">
        <v>46052</v>
      </c>
      <c r="M551" s="5" t="str">
        <f ca="1">IF(Tabela4[[#This Row],[RECOMPRADO]]="RECEBIDO","LIQUIDADO",IF(O551="LIQUIDADO","LIQUIDADO",IF(I551&lt;$I$5,"VENCIDO","A VENCER")))</f>
        <v>A VENCER</v>
      </c>
      <c r="N551" s="211">
        <f ca="1">IF(Tabela4[[#This Row],[STATUS]]="LIQUIDADO","",Tabela4[[#This Row],[VCTO]]-$I$5)</f>
        <v>54</v>
      </c>
      <c r="O551" s="6"/>
      <c r="P551" s="6"/>
      <c r="Q551" s="5"/>
      <c r="R551" s="5"/>
      <c r="S551" s="5"/>
      <c r="T551" s="5"/>
      <c r="U551" s="5"/>
      <c r="V551" s="5"/>
    </row>
    <row r="552" spans="1:22">
      <c r="A552" s="5" t="s">
        <v>0</v>
      </c>
      <c r="B552" s="6">
        <v>46052</v>
      </c>
      <c r="C552" s="6" t="s">
        <v>41</v>
      </c>
      <c r="D552" s="26">
        <v>346</v>
      </c>
      <c r="E552" s="35" t="s">
        <v>92</v>
      </c>
      <c r="F552" s="5" t="s">
        <v>276</v>
      </c>
      <c r="G552" s="220">
        <v>22348602000177</v>
      </c>
      <c r="H552" s="39">
        <v>4015.71</v>
      </c>
      <c r="I552" s="216">
        <v>46092</v>
      </c>
      <c r="J552" s="7" t="s">
        <v>91</v>
      </c>
      <c r="K552" s="5" t="s">
        <v>381</v>
      </c>
      <c r="L552" s="6">
        <v>46052</v>
      </c>
      <c r="M552" s="5" t="str">
        <f ca="1">IF(Tabela4[[#This Row],[RECOMPRADO]]="RECEBIDO","LIQUIDADO",IF(O552="LIQUIDADO","LIQUIDADO",IF(I552&lt;$I$5,"VENCIDO","A VENCER")))</f>
        <v>VENCIDO</v>
      </c>
      <c r="N552" s="211">
        <f ca="1">IF(Tabela4[[#This Row],[STATUS]]="LIQUIDADO","",Tabela4[[#This Row],[VCTO]]-$I$5)</f>
        <v>-6</v>
      </c>
      <c r="O552" s="219"/>
      <c r="P552" s="6"/>
      <c r="Q552" s="5"/>
      <c r="R552" s="5"/>
      <c r="S552" s="5"/>
      <c r="T552" s="5" t="s">
        <v>646</v>
      </c>
      <c r="U552" s="5"/>
      <c r="V552" s="5"/>
    </row>
    <row r="553" spans="1:22">
      <c r="A553" s="26" t="s">
        <v>0</v>
      </c>
      <c r="B553" s="11">
        <v>46052</v>
      </c>
      <c r="C553" s="6" t="s">
        <v>41</v>
      </c>
      <c r="D553" s="26">
        <v>346</v>
      </c>
      <c r="E553" s="35" t="s">
        <v>95</v>
      </c>
      <c r="F553" s="26" t="s">
        <v>276</v>
      </c>
      <c r="G553" s="220">
        <v>22348602000177</v>
      </c>
      <c r="H553" s="39">
        <v>2889</v>
      </c>
      <c r="I553" s="216">
        <v>46107</v>
      </c>
      <c r="J553" s="7" t="s">
        <v>91</v>
      </c>
      <c r="K553" s="26" t="s">
        <v>381</v>
      </c>
      <c r="L553" s="6">
        <v>46052</v>
      </c>
      <c r="M553" s="5" t="str">
        <f ca="1">IF(Tabela4[[#This Row],[RECOMPRADO]]="RECEBIDO","LIQUIDADO",IF(O553="LIQUIDADO","LIQUIDADO",IF(I553&lt;$I$5,"VENCIDO","A VENCER")))</f>
        <v>A VENCER</v>
      </c>
      <c r="N553" s="211">
        <f ca="1">IF(Tabela4[[#This Row],[STATUS]]="LIQUIDADO","",Tabela4[[#This Row],[VCTO]]-$I$5)</f>
        <v>9</v>
      </c>
      <c r="O553" s="219"/>
      <c r="P553" s="6"/>
      <c r="Q553" s="5"/>
      <c r="R553" s="5"/>
      <c r="S553" s="5"/>
      <c r="T553" s="5"/>
      <c r="U553" s="5"/>
      <c r="V553" s="5"/>
    </row>
    <row r="554" spans="1:22">
      <c r="A554" s="5" t="s">
        <v>0</v>
      </c>
      <c r="B554" s="6">
        <v>46052</v>
      </c>
      <c r="C554" s="6" t="s">
        <v>41</v>
      </c>
      <c r="D554" s="26">
        <v>346</v>
      </c>
      <c r="E554" s="35" t="s">
        <v>96</v>
      </c>
      <c r="F554" s="5" t="s">
        <v>276</v>
      </c>
      <c r="G554" s="220">
        <v>22348602000177</v>
      </c>
      <c r="H554" s="39">
        <v>2889</v>
      </c>
      <c r="I554" s="216">
        <v>46122</v>
      </c>
      <c r="J554" s="7" t="s">
        <v>91</v>
      </c>
      <c r="K554" s="5" t="s">
        <v>381</v>
      </c>
      <c r="L554" s="6">
        <v>46052</v>
      </c>
      <c r="M554" s="5" t="str">
        <f ca="1">IF(Tabela4[[#This Row],[RECOMPRADO]]="RECEBIDO","LIQUIDADO",IF(O554="LIQUIDADO","LIQUIDADO",IF(I554&lt;$I$5,"VENCIDO","A VENCER")))</f>
        <v>A VENCER</v>
      </c>
      <c r="N554" s="211">
        <f ca="1">IF(Tabela4[[#This Row],[STATUS]]="LIQUIDADO","",Tabela4[[#This Row],[VCTO]]-$I$5)</f>
        <v>24</v>
      </c>
      <c r="O554" s="219"/>
      <c r="P554" s="6"/>
      <c r="Q554" s="5"/>
      <c r="R554" s="5"/>
      <c r="S554" s="5"/>
      <c r="T554" s="5"/>
      <c r="U554" s="5"/>
      <c r="V554" s="5"/>
    </row>
    <row r="555" spans="1:22">
      <c r="A555" s="26" t="s">
        <v>0</v>
      </c>
      <c r="B555" s="11">
        <v>46052</v>
      </c>
      <c r="C555" s="6" t="s">
        <v>43</v>
      </c>
      <c r="D555" s="26">
        <v>346</v>
      </c>
      <c r="E555" s="35" t="s">
        <v>92</v>
      </c>
      <c r="F555" s="26" t="s">
        <v>276</v>
      </c>
      <c r="G555" s="220">
        <v>22348602000177</v>
      </c>
      <c r="H555" s="39">
        <v>6741.1</v>
      </c>
      <c r="I555" s="216">
        <v>46092</v>
      </c>
      <c r="J555" s="7" t="s">
        <v>91</v>
      </c>
      <c r="K555" s="26" t="s">
        <v>381</v>
      </c>
      <c r="L555" s="6">
        <v>46052</v>
      </c>
      <c r="M555" s="5" t="str">
        <f ca="1">IF(Tabela4[[#This Row],[RECOMPRADO]]="RECEBIDO","LIQUIDADO",IF(O555="LIQUIDADO","LIQUIDADO",IF(I555&lt;$I$5,"VENCIDO","A VENCER")))</f>
        <v>VENCIDO</v>
      </c>
      <c r="N555" s="211">
        <f ca="1">IF(Tabela4[[#This Row],[STATUS]]="LIQUIDADO","",Tabela4[[#This Row],[VCTO]]-$I$5)</f>
        <v>-6</v>
      </c>
      <c r="O555" s="6"/>
      <c r="P555" s="6"/>
      <c r="Q555" s="5"/>
      <c r="R555" s="5"/>
      <c r="S555" s="5"/>
      <c r="T555" s="5" t="s">
        <v>646</v>
      </c>
      <c r="U555" s="5"/>
      <c r="V555" s="5"/>
    </row>
    <row r="556" spans="1:22">
      <c r="A556" s="5" t="s">
        <v>0</v>
      </c>
      <c r="B556" s="6">
        <v>46052</v>
      </c>
      <c r="C556" s="6" t="s">
        <v>43</v>
      </c>
      <c r="D556" s="26">
        <v>346</v>
      </c>
      <c r="E556" s="35" t="s">
        <v>95</v>
      </c>
      <c r="F556" s="5" t="s">
        <v>276</v>
      </c>
      <c r="G556" s="220">
        <v>22348602000177</v>
      </c>
      <c r="H556" s="39">
        <v>6741.1</v>
      </c>
      <c r="I556" s="216">
        <v>46107</v>
      </c>
      <c r="J556" s="7" t="s">
        <v>91</v>
      </c>
      <c r="K556" s="5" t="s">
        <v>381</v>
      </c>
      <c r="L556" s="6">
        <v>46052</v>
      </c>
      <c r="M556" s="5" t="str">
        <f ca="1">IF(Tabela4[[#This Row],[RECOMPRADO]]="RECEBIDO","LIQUIDADO",IF(O556="LIQUIDADO","LIQUIDADO",IF(I556&lt;$I$5,"VENCIDO","A VENCER")))</f>
        <v>A VENCER</v>
      </c>
      <c r="N556" s="211">
        <f ca="1">IF(Tabela4[[#This Row],[STATUS]]="LIQUIDADO","",Tabela4[[#This Row],[VCTO]]-$I$5)</f>
        <v>9</v>
      </c>
      <c r="O556" s="6"/>
      <c r="P556" s="6"/>
      <c r="Q556" s="5"/>
      <c r="R556" s="5"/>
      <c r="S556" s="5"/>
      <c r="T556" s="5"/>
      <c r="U556" s="5"/>
      <c r="V556" s="5"/>
    </row>
    <row r="557" spans="1:22">
      <c r="A557" s="26" t="s">
        <v>0</v>
      </c>
      <c r="B557" s="11">
        <v>46052</v>
      </c>
      <c r="C557" s="6" t="s">
        <v>43</v>
      </c>
      <c r="D557" s="26">
        <v>346</v>
      </c>
      <c r="E557" s="35" t="s">
        <v>96</v>
      </c>
      <c r="F557" s="26" t="s">
        <v>276</v>
      </c>
      <c r="G557" s="220">
        <v>22348602000177</v>
      </c>
      <c r="H557" s="39">
        <v>6741.1</v>
      </c>
      <c r="I557" s="216">
        <v>46122</v>
      </c>
      <c r="J557" s="7" t="s">
        <v>91</v>
      </c>
      <c r="K557" s="26" t="s">
        <v>381</v>
      </c>
      <c r="L557" s="6">
        <v>46052</v>
      </c>
      <c r="M557" s="5" t="str">
        <f ca="1">IF(Tabela4[[#This Row],[RECOMPRADO]]="RECEBIDO","LIQUIDADO",IF(O557="LIQUIDADO","LIQUIDADO",IF(I557&lt;$I$5,"VENCIDO","A VENCER")))</f>
        <v>A VENCER</v>
      </c>
      <c r="N557" s="211">
        <f ca="1">IF(Tabela4[[#This Row],[STATUS]]="LIQUIDADO","",Tabela4[[#This Row],[VCTO]]-$I$5)</f>
        <v>24</v>
      </c>
      <c r="O557" s="6"/>
      <c r="P557" s="6"/>
      <c r="Q557" s="5"/>
      <c r="R557" s="5"/>
      <c r="S557" s="5"/>
      <c r="T557" s="5"/>
      <c r="U557" s="5"/>
      <c r="V557" s="5"/>
    </row>
    <row r="558" spans="1:22">
      <c r="A558" s="5" t="s">
        <v>0</v>
      </c>
      <c r="B558" s="6">
        <v>46052</v>
      </c>
      <c r="C558" s="6" t="s">
        <v>41</v>
      </c>
      <c r="D558" s="26">
        <v>347</v>
      </c>
      <c r="E558" s="35" t="s">
        <v>92</v>
      </c>
      <c r="F558" s="5" t="s">
        <v>267</v>
      </c>
      <c r="G558" s="220">
        <v>20891953000102</v>
      </c>
      <c r="H558" s="39">
        <v>6500</v>
      </c>
      <c r="I558" s="216">
        <v>46104</v>
      </c>
      <c r="J558" s="7" t="s">
        <v>91</v>
      </c>
      <c r="K558" s="5" t="s">
        <v>381</v>
      </c>
      <c r="L558" s="6">
        <v>46052</v>
      </c>
      <c r="M558" s="5" t="str">
        <f ca="1">IF(Tabela4[[#This Row],[RECOMPRADO]]="RECEBIDO","LIQUIDADO",IF(O558="LIQUIDADO","LIQUIDADO",IF(I558&lt;$I$5,"VENCIDO","A VENCER")))</f>
        <v>A VENCER</v>
      </c>
      <c r="N558" s="211">
        <f ca="1">IF(Tabela4[[#This Row],[STATUS]]="LIQUIDADO","",Tabela4[[#This Row],[VCTO]]-$I$5)</f>
        <v>6</v>
      </c>
      <c r="O558" s="219"/>
      <c r="P558" s="6"/>
      <c r="Q558" s="5"/>
      <c r="R558" s="5"/>
      <c r="S558" s="5"/>
      <c r="T558" s="5"/>
      <c r="U558" s="5"/>
      <c r="V558" s="5"/>
    </row>
    <row r="559" spans="1:22">
      <c r="A559" s="26" t="s">
        <v>0</v>
      </c>
      <c r="B559" s="11">
        <v>46052</v>
      </c>
      <c r="C559" s="6" t="s">
        <v>43</v>
      </c>
      <c r="D559" s="26">
        <v>347</v>
      </c>
      <c r="E559" s="35" t="s">
        <v>92</v>
      </c>
      <c r="F559" s="26" t="s">
        <v>267</v>
      </c>
      <c r="G559" s="220">
        <v>20891953000102</v>
      </c>
      <c r="H559" s="39">
        <v>6500</v>
      </c>
      <c r="I559" s="216">
        <v>46104</v>
      </c>
      <c r="J559" s="7" t="s">
        <v>91</v>
      </c>
      <c r="K559" s="26" t="s">
        <v>381</v>
      </c>
      <c r="L559" s="6">
        <v>46052</v>
      </c>
      <c r="M559" s="5" t="str">
        <f ca="1">IF(Tabela4[[#This Row],[RECOMPRADO]]="RECEBIDO","LIQUIDADO",IF(O559="LIQUIDADO","LIQUIDADO",IF(I559&lt;$I$5,"VENCIDO","A VENCER")))</f>
        <v>A VENCER</v>
      </c>
      <c r="N559" s="211">
        <f ca="1">IF(Tabela4[[#This Row],[STATUS]]="LIQUIDADO","",Tabela4[[#This Row],[VCTO]]-$I$5)</f>
        <v>6</v>
      </c>
      <c r="O559" s="219"/>
      <c r="P559" s="6"/>
      <c r="Q559" s="5"/>
      <c r="R559" s="5"/>
      <c r="S559" s="5"/>
      <c r="T559" s="5"/>
      <c r="U559" s="5"/>
      <c r="V559" s="5"/>
    </row>
    <row r="560" spans="1:22">
      <c r="A560" s="5" t="s">
        <v>0</v>
      </c>
      <c r="B560" s="6">
        <v>46052</v>
      </c>
      <c r="C560" s="6" t="s">
        <v>41</v>
      </c>
      <c r="D560" s="26">
        <v>348</v>
      </c>
      <c r="E560" s="35" t="s">
        <v>92</v>
      </c>
      <c r="F560" s="5" t="s">
        <v>277</v>
      </c>
      <c r="G560" s="220">
        <v>40158778000148</v>
      </c>
      <c r="H560" s="39">
        <v>813.33</v>
      </c>
      <c r="I560" s="216">
        <v>46086</v>
      </c>
      <c r="J560" s="7" t="s">
        <v>91</v>
      </c>
      <c r="K560" s="5" t="s">
        <v>381</v>
      </c>
      <c r="L560" s="6">
        <v>46052</v>
      </c>
      <c r="M560" s="224" t="s">
        <v>86</v>
      </c>
      <c r="N560" s="211" t="str">
        <f>IF(Tabela4[[#This Row],[STATUS]]="LIQUIDADO","",Tabela4[[#This Row],[VCTO]]-$I$5)</f>
        <v/>
      </c>
      <c r="O560" s="219" t="s">
        <v>86</v>
      </c>
      <c r="P560" s="6"/>
      <c r="Q560" s="5"/>
      <c r="R560" s="5"/>
      <c r="S560" s="5"/>
      <c r="T560" s="5" t="s">
        <v>599</v>
      </c>
      <c r="U560" s="5"/>
      <c r="V560" s="5"/>
    </row>
    <row r="561" spans="1:22">
      <c r="A561" s="26" t="s">
        <v>0</v>
      </c>
      <c r="B561" s="11">
        <v>46052</v>
      </c>
      <c r="C561" s="6" t="s">
        <v>41</v>
      </c>
      <c r="D561" s="26">
        <v>348</v>
      </c>
      <c r="E561" s="35" t="s">
        <v>95</v>
      </c>
      <c r="F561" s="26" t="s">
        <v>277</v>
      </c>
      <c r="G561" s="220">
        <v>40158778000148</v>
      </c>
      <c r="H561" s="39">
        <v>813.33</v>
      </c>
      <c r="I561" s="216">
        <v>46093</v>
      </c>
      <c r="J561" s="7" t="s">
        <v>91</v>
      </c>
      <c r="K561" s="26" t="s">
        <v>381</v>
      </c>
      <c r="L561" s="6">
        <v>46052</v>
      </c>
      <c r="M561" s="5" t="str">
        <f>IF(Tabela4[[#This Row],[RECOMPRADO]]="RECEBIDO","LIQUIDADO",IF(O561="LIQUIDADO","LIQUIDADO",IF(I561&lt;$I$5,"VENCIDO","A VENCER")))</f>
        <v>LIQUIDADO</v>
      </c>
      <c r="N561" s="211" t="str">
        <f>IF(Tabela4[[#This Row],[STATUS]]="LIQUIDADO","",Tabela4[[#This Row],[VCTO]]-$I$5)</f>
        <v/>
      </c>
      <c r="O561" s="6" t="s">
        <v>86</v>
      </c>
      <c r="P561" s="6"/>
      <c r="Q561" s="5"/>
      <c r="R561" s="5"/>
      <c r="S561" s="5"/>
      <c r="T561" s="5" t="s">
        <v>570</v>
      </c>
      <c r="U561" s="5"/>
      <c r="V561" s="5"/>
    </row>
    <row r="562" spans="1:22">
      <c r="A562" s="5" t="s">
        <v>0</v>
      </c>
      <c r="B562" s="6">
        <v>46052</v>
      </c>
      <c r="C562" s="6" t="s">
        <v>41</v>
      </c>
      <c r="D562" s="26">
        <v>348</v>
      </c>
      <c r="E562" s="35" t="s">
        <v>96</v>
      </c>
      <c r="F562" s="5" t="s">
        <v>277</v>
      </c>
      <c r="G562" s="220">
        <v>40158778000148</v>
      </c>
      <c r="H562" s="39">
        <v>813.34</v>
      </c>
      <c r="I562" s="216">
        <v>46100</v>
      </c>
      <c r="J562" s="7" t="s">
        <v>91</v>
      </c>
      <c r="K562" s="5" t="s">
        <v>381</v>
      </c>
      <c r="L562" s="6">
        <v>46052</v>
      </c>
      <c r="M562" s="5" t="str">
        <f ca="1">IF(Tabela4[[#This Row],[RECOMPRADO]]="RECEBIDO","LIQUIDADO",IF(O562="LIQUIDADO","LIQUIDADO",IF(I562&lt;$I$5,"VENCIDO","A VENCER")))</f>
        <v>A VENCER</v>
      </c>
      <c r="N562" s="211">
        <f ca="1">IF(Tabela4[[#This Row],[STATUS]]="LIQUIDADO","",Tabela4[[#This Row],[VCTO]]-$I$5)</f>
        <v>2</v>
      </c>
      <c r="O562" s="6"/>
      <c r="P562" s="6"/>
      <c r="Q562" s="5"/>
      <c r="R562" s="5"/>
      <c r="S562" s="5"/>
      <c r="T562" s="5" t="s">
        <v>570</v>
      </c>
      <c r="U562" s="5"/>
      <c r="V562" s="5"/>
    </row>
    <row r="563" spans="1:22">
      <c r="A563" s="26" t="s">
        <v>0</v>
      </c>
      <c r="B563" s="11">
        <v>46052</v>
      </c>
      <c r="C563" s="6" t="s">
        <v>43</v>
      </c>
      <c r="D563" s="26">
        <v>348</v>
      </c>
      <c r="E563" s="35" t="s">
        <v>92</v>
      </c>
      <c r="F563" s="26" t="s">
        <v>277</v>
      </c>
      <c r="G563" s="220">
        <v>40158778000148</v>
      </c>
      <c r="H563" s="39">
        <v>813.33</v>
      </c>
      <c r="I563" s="216">
        <v>46086</v>
      </c>
      <c r="J563" s="7" t="s">
        <v>91</v>
      </c>
      <c r="K563" s="26" t="s">
        <v>381</v>
      </c>
      <c r="L563" s="6">
        <v>46052</v>
      </c>
      <c r="M563" s="5" t="str">
        <f>IF(Tabela4[[#This Row],[RECOMPRADO]]="RECEBIDO","LIQUIDADO",IF(O563="LIQUIDADO","LIQUIDADO",IF(I563&lt;$I$5,"VENCIDO","A VENCER")))</f>
        <v>LIQUIDADO</v>
      </c>
      <c r="N563" s="211" t="str">
        <f>IF(Tabela4[[#This Row],[STATUS]]="LIQUIDADO","",Tabela4[[#This Row],[VCTO]]-$I$5)</f>
        <v/>
      </c>
      <c r="O563" s="6" t="s">
        <v>86</v>
      </c>
      <c r="P563" s="6"/>
      <c r="Q563" s="5"/>
      <c r="R563" s="5"/>
      <c r="S563" s="5"/>
      <c r="T563" s="5" t="s">
        <v>570</v>
      </c>
      <c r="U563" s="5"/>
      <c r="V563" s="5"/>
    </row>
    <row r="564" spans="1:22">
      <c r="A564" s="5" t="s">
        <v>0</v>
      </c>
      <c r="B564" s="6">
        <v>46052</v>
      </c>
      <c r="C564" s="6" t="s">
        <v>43</v>
      </c>
      <c r="D564" s="26">
        <v>348</v>
      </c>
      <c r="E564" s="35" t="s">
        <v>95</v>
      </c>
      <c r="F564" s="5" t="s">
        <v>277</v>
      </c>
      <c r="G564" s="220">
        <v>40158778000148</v>
      </c>
      <c r="H564" s="39">
        <v>813.33</v>
      </c>
      <c r="I564" s="216">
        <v>46093</v>
      </c>
      <c r="J564" s="7" t="s">
        <v>91</v>
      </c>
      <c r="K564" s="5" t="s">
        <v>381</v>
      </c>
      <c r="L564" s="6">
        <v>46052</v>
      </c>
      <c r="M564" s="5" t="str">
        <f>IF(Tabela4[[#This Row],[RECOMPRADO]]="RECEBIDO","LIQUIDADO",IF(O564="LIQUIDADO","LIQUIDADO",IF(I564&lt;$I$5,"VENCIDO","A VENCER")))</f>
        <v>LIQUIDADO</v>
      </c>
      <c r="N564" s="211" t="str">
        <f>IF(Tabela4[[#This Row],[STATUS]]="LIQUIDADO","",Tabela4[[#This Row],[VCTO]]-$I$5)</f>
        <v/>
      </c>
      <c r="O564" s="219" t="s">
        <v>86</v>
      </c>
      <c r="P564" s="6"/>
      <c r="Q564" s="5"/>
      <c r="R564" s="5"/>
      <c r="S564" s="5"/>
      <c r="T564" s="5" t="s">
        <v>570</v>
      </c>
      <c r="U564" s="5"/>
      <c r="V564" s="5"/>
    </row>
    <row r="565" spans="1:22">
      <c r="A565" s="26" t="s">
        <v>0</v>
      </c>
      <c r="B565" s="11">
        <v>46052</v>
      </c>
      <c r="C565" s="6" t="s">
        <v>43</v>
      </c>
      <c r="D565" s="26">
        <v>348</v>
      </c>
      <c r="E565" s="35" t="s">
        <v>96</v>
      </c>
      <c r="F565" s="26" t="s">
        <v>277</v>
      </c>
      <c r="G565" s="220">
        <v>40158778000148</v>
      </c>
      <c r="H565" s="39">
        <v>813.34</v>
      </c>
      <c r="I565" s="216">
        <v>46100</v>
      </c>
      <c r="J565" s="7" t="s">
        <v>91</v>
      </c>
      <c r="K565" s="26" t="s">
        <v>381</v>
      </c>
      <c r="L565" s="6">
        <v>46052</v>
      </c>
      <c r="M565" s="5" t="str">
        <f ca="1">IF(Tabela4[[#This Row],[RECOMPRADO]]="RECEBIDO","LIQUIDADO",IF(O565="LIQUIDADO","LIQUIDADO",IF(I565&lt;$I$5,"VENCIDO","A VENCER")))</f>
        <v>A VENCER</v>
      </c>
      <c r="N565" s="211">
        <f ca="1">IF(Tabela4[[#This Row],[STATUS]]="LIQUIDADO","",Tabela4[[#This Row],[VCTO]]-$I$5)</f>
        <v>2</v>
      </c>
      <c r="O565" s="219"/>
      <c r="P565" s="6"/>
      <c r="Q565" s="5"/>
      <c r="R565" s="5"/>
      <c r="S565" s="5"/>
      <c r="T565" s="5" t="s">
        <v>570</v>
      </c>
      <c r="U565" s="5"/>
      <c r="V565" s="5"/>
    </row>
    <row r="566" spans="1:22">
      <c r="A566" s="5" t="s">
        <v>0</v>
      </c>
      <c r="B566" s="6">
        <v>46052</v>
      </c>
      <c r="C566" s="6" t="s">
        <v>41</v>
      </c>
      <c r="D566" s="26">
        <v>349</v>
      </c>
      <c r="E566" s="35" t="s">
        <v>92</v>
      </c>
      <c r="F566" s="5" t="s">
        <v>278</v>
      </c>
      <c r="G566" s="220">
        <v>22258422000102</v>
      </c>
      <c r="H566" s="39">
        <v>2322.16</v>
      </c>
      <c r="I566" s="216">
        <v>46087</v>
      </c>
      <c r="J566" s="7" t="s">
        <v>91</v>
      </c>
      <c r="K566" s="5" t="s">
        <v>381</v>
      </c>
      <c r="L566" s="6">
        <v>46052</v>
      </c>
      <c r="M566" s="5" t="str">
        <f>IF(Tabela4[[#This Row],[RECOMPRADO]]="RECEBIDO","LIQUIDADO",IF(O566="LIQUIDADO","LIQUIDADO",IF(I566&lt;$I$5,"VENCIDO","A VENCER")))</f>
        <v>LIQUIDADO</v>
      </c>
      <c r="N566" s="211" t="str">
        <f>IF(Tabela4[[#This Row],[STATUS]]="LIQUIDADO","",Tabela4[[#This Row],[VCTO]]-$I$5)</f>
        <v/>
      </c>
      <c r="O566" s="219" t="s">
        <v>86</v>
      </c>
      <c r="P566" s="6"/>
      <c r="Q566" s="5"/>
      <c r="R566" s="5"/>
      <c r="S566" s="5"/>
      <c r="T566" s="5"/>
      <c r="U566" s="5"/>
      <c r="V566" s="5"/>
    </row>
    <row r="567" spans="1:22">
      <c r="A567" s="26" t="s">
        <v>0</v>
      </c>
      <c r="B567" s="11">
        <v>46052</v>
      </c>
      <c r="C567" s="6" t="s">
        <v>41</v>
      </c>
      <c r="D567" s="26">
        <v>349</v>
      </c>
      <c r="E567" s="35" t="s">
        <v>95</v>
      </c>
      <c r="F567" s="26" t="s">
        <v>278</v>
      </c>
      <c r="G567" s="220">
        <v>22258422000102</v>
      </c>
      <c r="H567" s="39">
        <v>1904.17</v>
      </c>
      <c r="I567" s="216">
        <v>46094</v>
      </c>
      <c r="J567" s="7" t="s">
        <v>91</v>
      </c>
      <c r="K567" s="26" t="s">
        <v>381</v>
      </c>
      <c r="L567" s="6">
        <v>46052</v>
      </c>
      <c r="M567" s="5" t="str">
        <f>IF(Tabela4[[#This Row],[RECOMPRADO]]="RECEBIDO","LIQUIDADO",IF(O567="LIQUIDADO","LIQUIDADO",IF(I567&lt;$I$5,"VENCIDO","A VENCER")))</f>
        <v>LIQUIDADO</v>
      </c>
      <c r="N567" s="211" t="str">
        <f>IF(Tabela4[[#This Row],[STATUS]]="LIQUIDADO","",Tabela4[[#This Row],[VCTO]]-$I$5)</f>
        <v/>
      </c>
      <c r="O567" s="6" t="s">
        <v>86</v>
      </c>
      <c r="P567" s="6"/>
      <c r="Q567" s="5"/>
      <c r="R567" s="5"/>
      <c r="S567" s="5"/>
      <c r="T567" s="5"/>
      <c r="U567" s="5"/>
      <c r="V567" s="5"/>
    </row>
    <row r="568" spans="1:22">
      <c r="A568" s="5" t="s">
        <v>0</v>
      </c>
      <c r="B568" s="6">
        <v>46052</v>
      </c>
      <c r="C568" s="6" t="s">
        <v>41</v>
      </c>
      <c r="D568" s="26">
        <v>349</v>
      </c>
      <c r="E568" s="35" t="s">
        <v>96</v>
      </c>
      <c r="F568" s="5" t="s">
        <v>278</v>
      </c>
      <c r="G568" s="220">
        <v>22258422000102</v>
      </c>
      <c r="H568" s="39">
        <v>1904.16</v>
      </c>
      <c r="I568" s="216">
        <v>46101</v>
      </c>
      <c r="J568" s="7" t="s">
        <v>91</v>
      </c>
      <c r="K568" s="5" t="s">
        <v>381</v>
      </c>
      <c r="L568" s="6">
        <v>46052</v>
      </c>
      <c r="M568" s="5" t="str">
        <f ca="1">IF(Tabela4[[#This Row],[RECOMPRADO]]="RECEBIDO","LIQUIDADO",IF(O568="LIQUIDADO","LIQUIDADO",IF(I568&lt;$I$5,"VENCIDO","A VENCER")))</f>
        <v>A VENCER</v>
      </c>
      <c r="N568" s="211">
        <f ca="1">IF(Tabela4[[#This Row],[STATUS]]="LIQUIDADO","",Tabela4[[#This Row],[VCTO]]-$I$5)</f>
        <v>3</v>
      </c>
      <c r="O568" s="6"/>
      <c r="P568" s="6"/>
      <c r="Q568" s="5"/>
      <c r="R568" s="5"/>
      <c r="S568" s="5"/>
      <c r="T568" s="5"/>
      <c r="U568" s="5"/>
      <c r="V568" s="5"/>
    </row>
    <row r="569" spans="1:22">
      <c r="A569" s="26" t="s">
        <v>0</v>
      </c>
      <c r="B569" s="11">
        <v>46052</v>
      </c>
      <c r="C569" s="6" t="s">
        <v>43</v>
      </c>
      <c r="D569" s="26">
        <v>349</v>
      </c>
      <c r="E569" s="35" t="s">
        <v>92</v>
      </c>
      <c r="F569" s="26" t="s">
        <v>278</v>
      </c>
      <c r="G569" s="220">
        <v>22258422000102</v>
      </c>
      <c r="H569" s="39">
        <v>1904.17</v>
      </c>
      <c r="I569" s="216">
        <v>46087</v>
      </c>
      <c r="J569" s="7" t="s">
        <v>91</v>
      </c>
      <c r="K569" s="26" t="s">
        <v>381</v>
      </c>
      <c r="L569" s="6">
        <v>46052</v>
      </c>
      <c r="M569" s="5" t="str">
        <f>IF(Tabela4[[#This Row],[RECOMPRADO]]="RECEBIDO","LIQUIDADO",IF(O569="LIQUIDADO","LIQUIDADO",IF(I569&lt;$I$5,"VENCIDO","A VENCER")))</f>
        <v>LIQUIDADO</v>
      </c>
      <c r="N569" s="211" t="str">
        <f>IF(Tabela4[[#This Row],[STATUS]]="LIQUIDADO","",Tabela4[[#This Row],[VCTO]]-$I$5)</f>
        <v/>
      </c>
      <c r="O569" s="6" t="s">
        <v>86</v>
      </c>
      <c r="P569" s="6"/>
      <c r="Q569" s="5"/>
      <c r="R569" s="5"/>
      <c r="S569" s="5"/>
      <c r="T569" s="5"/>
      <c r="U569" s="5"/>
      <c r="V569" s="5"/>
    </row>
    <row r="570" spans="1:22">
      <c r="A570" s="5" t="s">
        <v>0</v>
      </c>
      <c r="B570" s="6">
        <v>46052</v>
      </c>
      <c r="C570" s="6" t="s">
        <v>43</v>
      </c>
      <c r="D570" s="26">
        <v>349</v>
      </c>
      <c r="E570" s="35" t="s">
        <v>95</v>
      </c>
      <c r="F570" s="5" t="s">
        <v>278</v>
      </c>
      <c r="G570" s="220">
        <v>22258422000102</v>
      </c>
      <c r="H570" s="39">
        <v>1904.17</v>
      </c>
      <c r="I570" s="216">
        <v>46094</v>
      </c>
      <c r="J570" s="7" t="s">
        <v>91</v>
      </c>
      <c r="K570" s="5" t="s">
        <v>381</v>
      </c>
      <c r="L570" s="6">
        <v>46052</v>
      </c>
      <c r="M570" s="5" t="str">
        <f>IF(Tabela4[[#This Row],[RECOMPRADO]]="RECEBIDO","LIQUIDADO",IF(O570="LIQUIDADO","LIQUIDADO",IF(I570&lt;$I$5,"VENCIDO","A VENCER")))</f>
        <v>LIQUIDADO</v>
      </c>
      <c r="N570" s="211" t="str">
        <f>IF(Tabela4[[#This Row],[STATUS]]="LIQUIDADO","",Tabela4[[#This Row],[VCTO]]-$I$5)</f>
        <v/>
      </c>
      <c r="O570" s="219" t="s">
        <v>86</v>
      </c>
      <c r="P570" s="6"/>
      <c r="Q570" s="5"/>
      <c r="R570" s="5"/>
      <c r="S570" s="5"/>
      <c r="T570" s="5"/>
      <c r="U570" s="5"/>
      <c r="V570" s="5"/>
    </row>
    <row r="571" spans="1:22">
      <c r="A571" s="26" t="s">
        <v>0</v>
      </c>
      <c r="B571" s="11">
        <v>46052</v>
      </c>
      <c r="C571" s="6" t="s">
        <v>43</v>
      </c>
      <c r="D571" s="26">
        <v>349</v>
      </c>
      <c r="E571" s="35" t="s">
        <v>96</v>
      </c>
      <c r="F571" s="26" t="s">
        <v>278</v>
      </c>
      <c r="G571" s="220">
        <v>22258422000102</v>
      </c>
      <c r="H571" s="39">
        <v>1904.16</v>
      </c>
      <c r="I571" s="216">
        <v>46101</v>
      </c>
      <c r="J571" s="7" t="s">
        <v>91</v>
      </c>
      <c r="K571" s="26" t="s">
        <v>381</v>
      </c>
      <c r="L571" s="6">
        <v>46052</v>
      </c>
      <c r="M571" s="5" t="str">
        <f ca="1">IF(Tabela4[[#This Row],[RECOMPRADO]]="RECEBIDO","LIQUIDADO",IF(O571="LIQUIDADO","LIQUIDADO",IF(I571&lt;$I$5,"VENCIDO","A VENCER")))</f>
        <v>A VENCER</v>
      </c>
      <c r="N571" s="211">
        <f ca="1">IF(Tabela4[[#This Row],[STATUS]]="LIQUIDADO","",Tabela4[[#This Row],[VCTO]]-$I$5)</f>
        <v>3</v>
      </c>
      <c r="O571" s="219"/>
      <c r="P571" s="6"/>
      <c r="Q571" s="5"/>
      <c r="R571" s="5"/>
      <c r="S571" s="5"/>
      <c r="T571" s="5"/>
      <c r="U571" s="5"/>
      <c r="V571" s="5"/>
    </row>
    <row r="572" spans="1:22">
      <c r="A572" s="5" t="s">
        <v>0</v>
      </c>
      <c r="B572" s="6">
        <v>46052</v>
      </c>
      <c r="C572" s="6" t="s">
        <v>41</v>
      </c>
      <c r="D572" s="26">
        <v>350</v>
      </c>
      <c r="E572" s="35" t="s">
        <v>92</v>
      </c>
      <c r="F572" s="5" t="s">
        <v>279</v>
      </c>
      <c r="G572" s="220">
        <v>71883219000124</v>
      </c>
      <c r="H572" s="39">
        <v>949.54</v>
      </c>
      <c r="I572" s="216">
        <v>46087</v>
      </c>
      <c r="J572" s="7" t="s">
        <v>91</v>
      </c>
      <c r="K572" s="5" t="s">
        <v>381</v>
      </c>
      <c r="L572" s="6">
        <v>46052</v>
      </c>
      <c r="M572" s="5" t="str">
        <f>IF(Tabela4[[#This Row],[RECOMPRADO]]="RECEBIDO","LIQUIDADO",IF(O572="LIQUIDADO","LIQUIDADO",IF(I572&lt;$I$5,"VENCIDO","A VENCER")))</f>
        <v>LIQUIDADO</v>
      </c>
      <c r="N572" s="211" t="str">
        <f>IF(Tabela4[[#This Row],[STATUS]]="LIQUIDADO","",Tabela4[[#This Row],[VCTO]]-$I$5)</f>
        <v/>
      </c>
      <c r="O572" s="219" t="s">
        <v>86</v>
      </c>
      <c r="P572" s="6"/>
      <c r="Q572" s="5"/>
      <c r="R572" s="5"/>
      <c r="S572" s="5"/>
      <c r="T572" s="5"/>
      <c r="U572" s="5"/>
      <c r="V572" s="5"/>
    </row>
    <row r="573" spans="1:22">
      <c r="A573" s="26" t="s">
        <v>0</v>
      </c>
      <c r="B573" s="11">
        <v>46052</v>
      </c>
      <c r="C573" s="6" t="s">
        <v>41</v>
      </c>
      <c r="D573" s="26">
        <v>350</v>
      </c>
      <c r="E573" s="35" t="s">
        <v>95</v>
      </c>
      <c r="F573" s="26" t="s">
        <v>279</v>
      </c>
      <c r="G573" s="220">
        <v>71883219000124</v>
      </c>
      <c r="H573" s="39">
        <v>774</v>
      </c>
      <c r="I573" s="216">
        <v>46094</v>
      </c>
      <c r="J573" s="7" t="s">
        <v>91</v>
      </c>
      <c r="K573" s="26" t="s">
        <v>381</v>
      </c>
      <c r="L573" s="6">
        <v>46052</v>
      </c>
      <c r="M573" s="5" t="str">
        <f>IF(Tabela4[[#This Row],[RECOMPRADO]]="RECEBIDO","LIQUIDADO",IF(O573="LIQUIDADO","LIQUIDADO",IF(I573&lt;$I$5,"VENCIDO","A VENCER")))</f>
        <v>LIQUIDADO</v>
      </c>
      <c r="N573" s="211" t="str">
        <f>IF(Tabela4[[#This Row],[STATUS]]="LIQUIDADO","",Tabela4[[#This Row],[VCTO]]-$I$5)</f>
        <v/>
      </c>
      <c r="O573" s="6" t="s">
        <v>86</v>
      </c>
      <c r="P573" s="6"/>
      <c r="Q573" s="5"/>
      <c r="R573" s="5"/>
      <c r="S573" s="5"/>
      <c r="T573" s="5"/>
      <c r="U573" s="5"/>
      <c r="V573" s="5"/>
    </row>
    <row r="574" spans="1:22">
      <c r="A574" s="5" t="s">
        <v>0</v>
      </c>
      <c r="B574" s="6">
        <v>46052</v>
      </c>
      <c r="C574" s="6" t="s">
        <v>41</v>
      </c>
      <c r="D574" s="26">
        <v>350</v>
      </c>
      <c r="E574" s="35" t="s">
        <v>96</v>
      </c>
      <c r="F574" s="5" t="s">
        <v>279</v>
      </c>
      <c r="G574" s="220">
        <v>71883219000124</v>
      </c>
      <c r="H574" s="39">
        <v>774</v>
      </c>
      <c r="I574" s="216">
        <v>46101</v>
      </c>
      <c r="J574" s="7" t="s">
        <v>91</v>
      </c>
      <c r="K574" s="5" t="s">
        <v>381</v>
      </c>
      <c r="L574" s="6">
        <v>46052</v>
      </c>
      <c r="M574" s="5" t="str">
        <f ca="1">IF(Tabela4[[#This Row],[RECOMPRADO]]="RECEBIDO","LIQUIDADO",IF(O574="LIQUIDADO","LIQUIDADO",IF(I574&lt;$I$5,"VENCIDO","A VENCER")))</f>
        <v>A VENCER</v>
      </c>
      <c r="N574" s="211">
        <f ca="1">IF(Tabela4[[#This Row],[STATUS]]="LIQUIDADO","",Tabela4[[#This Row],[VCTO]]-$I$5)</f>
        <v>3</v>
      </c>
      <c r="O574" s="6"/>
      <c r="P574" s="6"/>
      <c r="Q574" s="5"/>
      <c r="R574" s="5"/>
      <c r="S574" s="5"/>
      <c r="T574" s="5"/>
      <c r="U574" s="5"/>
      <c r="V574" s="5"/>
    </row>
    <row r="575" spans="1:22">
      <c r="A575" s="26" t="s">
        <v>0</v>
      </c>
      <c r="B575" s="11">
        <v>46052</v>
      </c>
      <c r="C575" s="6" t="s">
        <v>43</v>
      </c>
      <c r="D575" s="26">
        <v>350</v>
      </c>
      <c r="E575" s="35" t="s">
        <v>92</v>
      </c>
      <c r="F575" s="26" t="s">
        <v>279</v>
      </c>
      <c r="G575" s="220">
        <v>71883219000124</v>
      </c>
      <c r="H575" s="39">
        <v>774</v>
      </c>
      <c r="I575" s="216">
        <v>46087</v>
      </c>
      <c r="J575" s="7" t="s">
        <v>91</v>
      </c>
      <c r="K575" s="26" t="s">
        <v>381</v>
      </c>
      <c r="L575" s="6">
        <v>46052</v>
      </c>
      <c r="M575" s="5" t="str">
        <f>IF(Tabela4[[#This Row],[RECOMPRADO]]="RECEBIDO","LIQUIDADO",IF(O575="LIQUIDADO","LIQUIDADO",IF(I575&lt;$I$5,"VENCIDO","A VENCER")))</f>
        <v>LIQUIDADO</v>
      </c>
      <c r="N575" s="211" t="str">
        <f>IF(Tabela4[[#This Row],[STATUS]]="LIQUIDADO","",Tabela4[[#This Row],[VCTO]]-$I$5)</f>
        <v/>
      </c>
      <c r="O575" s="6" t="s">
        <v>86</v>
      </c>
      <c r="P575" s="6"/>
      <c r="Q575" s="5"/>
      <c r="R575" s="5"/>
      <c r="S575" s="5"/>
      <c r="T575" s="5"/>
      <c r="U575" s="5"/>
      <c r="V575" s="5"/>
    </row>
    <row r="576" spans="1:22">
      <c r="A576" s="5" t="s">
        <v>0</v>
      </c>
      <c r="B576" s="6">
        <v>46052</v>
      </c>
      <c r="C576" s="6" t="s">
        <v>43</v>
      </c>
      <c r="D576" s="26">
        <v>350</v>
      </c>
      <c r="E576" s="35" t="s">
        <v>95</v>
      </c>
      <c r="F576" s="5" t="s">
        <v>279</v>
      </c>
      <c r="G576" s="220">
        <v>71883219000124</v>
      </c>
      <c r="H576" s="39">
        <v>774</v>
      </c>
      <c r="I576" s="216">
        <v>46094</v>
      </c>
      <c r="J576" s="7" t="s">
        <v>91</v>
      </c>
      <c r="K576" s="5" t="s">
        <v>381</v>
      </c>
      <c r="L576" s="6">
        <v>46052</v>
      </c>
      <c r="M576" s="5" t="str">
        <f>IF(Tabela4[[#This Row],[RECOMPRADO]]="RECEBIDO","LIQUIDADO",IF(O576="LIQUIDADO","LIQUIDADO",IF(I576&lt;$I$5,"VENCIDO","A VENCER")))</f>
        <v>LIQUIDADO</v>
      </c>
      <c r="N576" s="211" t="str">
        <f>IF(Tabela4[[#This Row],[STATUS]]="LIQUIDADO","",Tabela4[[#This Row],[VCTO]]-$I$5)</f>
        <v/>
      </c>
      <c r="O576" s="219" t="s">
        <v>86</v>
      </c>
      <c r="P576" s="6"/>
      <c r="Q576" s="5"/>
      <c r="R576" s="5"/>
      <c r="S576" s="5"/>
      <c r="T576" s="5"/>
      <c r="U576" s="5"/>
      <c r="V576" s="5"/>
    </row>
    <row r="577" spans="1:22">
      <c r="A577" s="26" t="s">
        <v>0</v>
      </c>
      <c r="B577" s="11">
        <v>46052</v>
      </c>
      <c r="C577" s="6" t="s">
        <v>43</v>
      </c>
      <c r="D577" s="26">
        <v>350</v>
      </c>
      <c r="E577" s="35" t="s">
        <v>96</v>
      </c>
      <c r="F577" s="26" t="s">
        <v>279</v>
      </c>
      <c r="G577" s="220">
        <v>71883219000124</v>
      </c>
      <c r="H577" s="39">
        <v>774</v>
      </c>
      <c r="I577" s="216">
        <v>46101</v>
      </c>
      <c r="J577" s="7" t="s">
        <v>91</v>
      </c>
      <c r="K577" s="26" t="s">
        <v>381</v>
      </c>
      <c r="L577" s="6">
        <v>46052</v>
      </c>
      <c r="M577" s="5" t="str">
        <f ca="1">IF(Tabela4[[#This Row],[RECOMPRADO]]="RECEBIDO","LIQUIDADO",IF(O577="LIQUIDADO","LIQUIDADO",IF(I577&lt;$I$5,"VENCIDO","A VENCER")))</f>
        <v>A VENCER</v>
      </c>
      <c r="N577" s="211">
        <f ca="1">IF(Tabela4[[#This Row],[STATUS]]="LIQUIDADO","",Tabela4[[#This Row],[VCTO]]-$I$5)</f>
        <v>3</v>
      </c>
      <c r="O577" s="219"/>
      <c r="P577" s="6"/>
      <c r="Q577" s="5"/>
      <c r="R577" s="5"/>
      <c r="S577" s="5"/>
      <c r="T577" s="5"/>
      <c r="U577" s="5"/>
      <c r="V577" s="5"/>
    </row>
    <row r="578" spans="1:22">
      <c r="A578" s="5" t="s">
        <v>0</v>
      </c>
      <c r="B578" s="6">
        <v>46052</v>
      </c>
      <c r="C578" s="6" t="s">
        <v>41</v>
      </c>
      <c r="D578" s="26">
        <v>351</v>
      </c>
      <c r="E578" s="35" t="s">
        <v>92</v>
      </c>
      <c r="F578" s="5" t="s">
        <v>272</v>
      </c>
      <c r="G578" s="220">
        <v>4665945000183</v>
      </c>
      <c r="H578" s="39">
        <v>4574.96</v>
      </c>
      <c r="I578" s="216">
        <v>46082</v>
      </c>
      <c r="J578" s="7" t="s">
        <v>91</v>
      </c>
      <c r="K578" s="5" t="s">
        <v>381</v>
      </c>
      <c r="L578" s="6">
        <v>46052</v>
      </c>
      <c r="M578" s="5" t="str">
        <f>IF(Tabela4[[#This Row],[RECOMPRADO]]="RECEBIDO","LIQUIDADO",IF(O578="LIQUIDADO","LIQUIDADO",IF(I578&lt;$I$5,"VENCIDO","A VENCER")))</f>
        <v>LIQUIDADO</v>
      </c>
      <c r="N578" s="211" t="str">
        <f>IF(Tabela4[[#This Row],[STATUS]]="LIQUIDADO","",Tabela4[[#This Row],[VCTO]]-$I$5)</f>
        <v/>
      </c>
      <c r="O578" s="219" t="s">
        <v>87</v>
      </c>
      <c r="P578" s="6">
        <v>46086</v>
      </c>
      <c r="Q578" s="5" t="s">
        <v>134</v>
      </c>
      <c r="R578" s="5"/>
      <c r="S578" s="5"/>
      <c r="T578" s="5" t="s">
        <v>575</v>
      </c>
      <c r="U578" s="5"/>
      <c r="V578" s="5"/>
    </row>
    <row r="579" spans="1:22">
      <c r="A579" s="26" t="s">
        <v>0</v>
      </c>
      <c r="B579" s="11">
        <v>46052</v>
      </c>
      <c r="C579" s="6" t="s">
        <v>41</v>
      </c>
      <c r="D579" s="26">
        <v>351</v>
      </c>
      <c r="E579" s="35" t="s">
        <v>95</v>
      </c>
      <c r="F579" s="26" t="s">
        <v>272</v>
      </c>
      <c r="G579" s="220">
        <v>4665945000183</v>
      </c>
      <c r="H579" s="39">
        <v>3320</v>
      </c>
      <c r="I579" s="216">
        <v>46092</v>
      </c>
      <c r="J579" s="7" t="s">
        <v>91</v>
      </c>
      <c r="K579" s="26" t="s">
        <v>381</v>
      </c>
      <c r="L579" s="6">
        <v>46052</v>
      </c>
      <c r="M579" s="5" t="str">
        <f>IF(Tabela4[[#This Row],[RECOMPRADO]]="RECEBIDO","LIQUIDADO",IF(O579="LIQUIDADO","LIQUIDADO",IF(I579&lt;$I$5,"VENCIDO","A VENCER")))</f>
        <v>LIQUIDADO</v>
      </c>
      <c r="N579" s="211" t="str">
        <f>IF(Tabela4[[#This Row],[STATUS]]="LIQUIDADO","",Tabela4[[#This Row],[VCTO]]-$I$5)</f>
        <v/>
      </c>
      <c r="O579" s="6" t="s">
        <v>86</v>
      </c>
      <c r="P579" s="6"/>
      <c r="Q579" s="5"/>
      <c r="R579" s="5"/>
      <c r="S579" s="5"/>
      <c r="T579" s="5" t="s">
        <v>575</v>
      </c>
      <c r="U579" s="5"/>
      <c r="V579" s="5"/>
    </row>
    <row r="580" spans="1:22">
      <c r="A580" s="5" t="s">
        <v>0</v>
      </c>
      <c r="B580" s="6">
        <v>46052</v>
      </c>
      <c r="C580" s="6" t="s">
        <v>41</v>
      </c>
      <c r="D580" s="26">
        <v>351</v>
      </c>
      <c r="E580" s="35" t="s">
        <v>96</v>
      </c>
      <c r="F580" s="5" t="s">
        <v>272</v>
      </c>
      <c r="G580" s="220">
        <v>4665945000183</v>
      </c>
      <c r="H580" s="39">
        <v>3320</v>
      </c>
      <c r="I580" s="216">
        <v>46102</v>
      </c>
      <c r="J580" s="7" t="s">
        <v>91</v>
      </c>
      <c r="K580" s="5" t="s">
        <v>381</v>
      </c>
      <c r="L580" s="6">
        <v>46052</v>
      </c>
      <c r="M580" s="5" t="str">
        <f ca="1">IF(Tabela4[[#This Row],[RECOMPRADO]]="RECEBIDO","LIQUIDADO",IF(O580="LIQUIDADO","LIQUIDADO",IF(I580&lt;$I$5,"VENCIDO","A VENCER")))</f>
        <v>A VENCER</v>
      </c>
      <c r="N580" s="211">
        <f ca="1">IF(Tabela4[[#This Row],[STATUS]]="LIQUIDADO","",Tabela4[[#This Row],[VCTO]]-$I$5)</f>
        <v>4</v>
      </c>
      <c r="O580" s="6"/>
      <c r="P580" s="6"/>
      <c r="Q580" s="5"/>
      <c r="R580" s="5"/>
      <c r="S580" s="5"/>
      <c r="T580" s="5" t="s">
        <v>575</v>
      </c>
      <c r="U580" s="5"/>
      <c r="V580" s="5"/>
    </row>
    <row r="581" spans="1:22">
      <c r="A581" s="26" t="s">
        <v>0</v>
      </c>
      <c r="B581" s="11">
        <v>46052</v>
      </c>
      <c r="C581" s="6" t="s">
        <v>41</v>
      </c>
      <c r="D581" s="26">
        <v>351</v>
      </c>
      <c r="E581" s="35" t="s">
        <v>97</v>
      </c>
      <c r="F581" s="26" t="s">
        <v>272</v>
      </c>
      <c r="G581" s="220">
        <v>4665945000183</v>
      </c>
      <c r="H581" s="39">
        <v>3320</v>
      </c>
      <c r="I581" s="216">
        <v>46112</v>
      </c>
      <c r="J581" s="7" t="s">
        <v>91</v>
      </c>
      <c r="K581" s="26" t="s">
        <v>381</v>
      </c>
      <c r="L581" s="6">
        <v>46052</v>
      </c>
      <c r="M581" s="5" t="str">
        <f ca="1">IF(Tabela4[[#This Row],[RECOMPRADO]]="RECEBIDO","LIQUIDADO",IF(O581="LIQUIDADO","LIQUIDADO",IF(I581&lt;$I$5,"VENCIDO","A VENCER")))</f>
        <v>A VENCER</v>
      </c>
      <c r="N581" s="211">
        <f ca="1">IF(Tabela4[[#This Row],[STATUS]]="LIQUIDADO","",Tabela4[[#This Row],[VCTO]]-$I$5)</f>
        <v>14</v>
      </c>
      <c r="O581" s="6"/>
      <c r="P581" s="6"/>
      <c r="Q581" s="5"/>
      <c r="R581" s="5"/>
      <c r="S581" s="5"/>
      <c r="T581" s="5" t="s">
        <v>575</v>
      </c>
      <c r="U581" s="5"/>
      <c r="V581" s="5"/>
    </row>
    <row r="582" spans="1:22">
      <c r="A582" s="5" t="s">
        <v>0</v>
      </c>
      <c r="B582" s="6">
        <v>46052</v>
      </c>
      <c r="C582" s="6" t="s">
        <v>41</v>
      </c>
      <c r="D582" s="26">
        <v>351</v>
      </c>
      <c r="E582" s="35" t="s">
        <v>98</v>
      </c>
      <c r="F582" s="5" t="s">
        <v>272</v>
      </c>
      <c r="G582" s="220">
        <v>4665945000183</v>
      </c>
      <c r="H582" s="39">
        <v>3320</v>
      </c>
      <c r="I582" s="216">
        <v>46122</v>
      </c>
      <c r="J582" s="7" t="s">
        <v>91</v>
      </c>
      <c r="K582" s="5" t="s">
        <v>381</v>
      </c>
      <c r="L582" s="6">
        <v>46052</v>
      </c>
      <c r="M582" s="5" t="str">
        <f ca="1">IF(Tabela4[[#This Row],[RECOMPRADO]]="RECEBIDO","LIQUIDADO",IF(O582="LIQUIDADO","LIQUIDADO",IF(I582&lt;$I$5,"VENCIDO","A VENCER")))</f>
        <v>A VENCER</v>
      </c>
      <c r="N582" s="211">
        <f ca="1">IF(Tabela4[[#This Row],[STATUS]]="LIQUIDADO","",Tabela4[[#This Row],[VCTO]]-$I$5)</f>
        <v>24</v>
      </c>
      <c r="O582" s="219"/>
      <c r="P582" s="6"/>
      <c r="Q582" s="5"/>
      <c r="R582" s="5"/>
      <c r="S582" s="5"/>
      <c r="T582" s="5" t="s">
        <v>575</v>
      </c>
      <c r="U582" s="5"/>
      <c r="V582" s="5"/>
    </row>
    <row r="583" spans="1:22">
      <c r="A583" s="26" t="s">
        <v>0</v>
      </c>
      <c r="B583" s="11">
        <v>46052</v>
      </c>
      <c r="C583" s="6" t="s">
        <v>43</v>
      </c>
      <c r="D583" s="26">
        <v>351</v>
      </c>
      <c r="E583" s="35" t="s">
        <v>92</v>
      </c>
      <c r="F583" s="26" t="s">
        <v>272</v>
      </c>
      <c r="G583" s="220">
        <v>4665945000183</v>
      </c>
      <c r="H583" s="39">
        <v>3320</v>
      </c>
      <c r="I583" s="216">
        <v>46082</v>
      </c>
      <c r="J583" s="7" t="s">
        <v>91</v>
      </c>
      <c r="K583" s="26" t="s">
        <v>381</v>
      </c>
      <c r="L583" s="6">
        <v>46052</v>
      </c>
      <c r="M583" s="5" t="str">
        <f>IF(Tabela4[[#This Row],[RECOMPRADO]]="RECEBIDO","LIQUIDADO",IF(O583="LIQUIDADO","LIQUIDADO",IF(I583&lt;$I$5,"VENCIDO","A VENCER")))</f>
        <v>LIQUIDADO</v>
      </c>
      <c r="N583" s="211" t="str">
        <f>IF(Tabela4[[#This Row],[STATUS]]="LIQUIDADO","",Tabela4[[#This Row],[VCTO]]-$I$5)</f>
        <v/>
      </c>
      <c r="O583" s="219" t="s">
        <v>87</v>
      </c>
      <c r="P583" s="6">
        <v>46086</v>
      </c>
      <c r="Q583" s="5" t="s">
        <v>134</v>
      </c>
      <c r="R583" s="5"/>
      <c r="S583" s="5"/>
      <c r="T583" s="5" t="s">
        <v>575</v>
      </c>
      <c r="U583" s="5"/>
      <c r="V583" s="5"/>
    </row>
    <row r="584" spans="1:22">
      <c r="A584" s="5" t="s">
        <v>0</v>
      </c>
      <c r="B584" s="6">
        <v>46052</v>
      </c>
      <c r="C584" s="6" t="s">
        <v>43</v>
      </c>
      <c r="D584" s="26">
        <v>351</v>
      </c>
      <c r="E584" s="35" t="s">
        <v>95</v>
      </c>
      <c r="F584" s="5" t="s">
        <v>272</v>
      </c>
      <c r="G584" s="220">
        <v>4665945000183</v>
      </c>
      <c r="H584" s="39">
        <v>3320</v>
      </c>
      <c r="I584" s="216">
        <v>46092</v>
      </c>
      <c r="J584" s="7" t="s">
        <v>91</v>
      </c>
      <c r="K584" s="5" t="s">
        <v>381</v>
      </c>
      <c r="L584" s="6">
        <v>46052</v>
      </c>
      <c r="M584" s="5" t="str">
        <f>IF(Tabela4[[#This Row],[RECOMPRADO]]="RECEBIDO","LIQUIDADO",IF(O584="LIQUIDADO","LIQUIDADO",IF(I584&lt;$I$5,"VENCIDO","A VENCER")))</f>
        <v>LIQUIDADO</v>
      </c>
      <c r="N584" s="211" t="str">
        <f>IF(Tabela4[[#This Row],[STATUS]]="LIQUIDADO","",Tabela4[[#This Row],[VCTO]]-$I$5)</f>
        <v/>
      </c>
      <c r="O584" s="219" t="s">
        <v>86</v>
      </c>
      <c r="P584" s="6"/>
      <c r="Q584" s="5"/>
      <c r="R584" s="5"/>
      <c r="S584" s="5"/>
      <c r="T584" s="5" t="s">
        <v>575</v>
      </c>
      <c r="U584" s="5"/>
      <c r="V584" s="5"/>
    </row>
    <row r="585" spans="1:22">
      <c r="A585" s="26" t="s">
        <v>0</v>
      </c>
      <c r="B585" s="11">
        <v>46052</v>
      </c>
      <c r="C585" s="6" t="s">
        <v>43</v>
      </c>
      <c r="D585" s="26">
        <v>351</v>
      </c>
      <c r="E585" s="35" t="s">
        <v>96</v>
      </c>
      <c r="F585" s="26" t="s">
        <v>272</v>
      </c>
      <c r="G585" s="220">
        <v>4665945000183</v>
      </c>
      <c r="H585" s="39">
        <v>3320</v>
      </c>
      <c r="I585" s="216">
        <v>46102</v>
      </c>
      <c r="J585" s="7" t="s">
        <v>91</v>
      </c>
      <c r="K585" s="26" t="s">
        <v>381</v>
      </c>
      <c r="L585" s="6">
        <v>46052</v>
      </c>
      <c r="M585" s="5" t="str">
        <f ca="1">IF(Tabela4[[#This Row],[RECOMPRADO]]="RECEBIDO","LIQUIDADO",IF(O585="LIQUIDADO","LIQUIDADO",IF(I585&lt;$I$5,"VENCIDO","A VENCER")))</f>
        <v>A VENCER</v>
      </c>
      <c r="N585" s="211">
        <f ca="1">IF(Tabela4[[#This Row],[STATUS]]="LIQUIDADO","",Tabela4[[#This Row],[VCTO]]-$I$5)</f>
        <v>4</v>
      </c>
      <c r="O585" s="6"/>
      <c r="P585" s="6"/>
      <c r="Q585" s="5"/>
      <c r="R585" s="5"/>
      <c r="S585" s="5"/>
      <c r="T585" s="5" t="s">
        <v>575</v>
      </c>
      <c r="U585" s="5"/>
      <c r="V585" s="5"/>
    </row>
    <row r="586" spans="1:22">
      <c r="A586" s="5" t="s">
        <v>0</v>
      </c>
      <c r="B586" s="6">
        <v>46052</v>
      </c>
      <c r="C586" s="6" t="s">
        <v>43</v>
      </c>
      <c r="D586" s="26">
        <v>351</v>
      </c>
      <c r="E586" s="35" t="s">
        <v>97</v>
      </c>
      <c r="F586" s="5" t="s">
        <v>272</v>
      </c>
      <c r="G586" s="220">
        <v>4665945000183</v>
      </c>
      <c r="H586" s="39">
        <v>3320</v>
      </c>
      <c r="I586" s="216">
        <v>46112</v>
      </c>
      <c r="J586" s="7" t="s">
        <v>91</v>
      </c>
      <c r="K586" s="5" t="s">
        <v>381</v>
      </c>
      <c r="L586" s="6">
        <v>46052</v>
      </c>
      <c r="M586" s="5" t="str">
        <f ca="1">IF(Tabela4[[#This Row],[RECOMPRADO]]="RECEBIDO","LIQUIDADO",IF(O586="LIQUIDADO","LIQUIDADO",IF(I586&lt;$I$5,"VENCIDO","A VENCER")))</f>
        <v>A VENCER</v>
      </c>
      <c r="N586" s="211">
        <f ca="1">IF(Tabela4[[#This Row],[STATUS]]="LIQUIDADO","",Tabela4[[#This Row],[VCTO]]-$I$5)</f>
        <v>14</v>
      </c>
      <c r="O586" s="6"/>
      <c r="P586" s="6"/>
      <c r="Q586" s="5"/>
      <c r="R586" s="5"/>
      <c r="S586" s="5"/>
      <c r="T586" s="5" t="s">
        <v>575</v>
      </c>
      <c r="U586" s="5"/>
      <c r="V586" s="5"/>
    </row>
    <row r="587" spans="1:22">
      <c r="A587" s="26" t="s">
        <v>0</v>
      </c>
      <c r="B587" s="11">
        <v>46052</v>
      </c>
      <c r="C587" s="6" t="s">
        <v>43</v>
      </c>
      <c r="D587" s="26">
        <v>351</v>
      </c>
      <c r="E587" s="35" t="s">
        <v>98</v>
      </c>
      <c r="F587" s="26" t="s">
        <v>272</v>
      </c>
      <c r="G587" s="220">
        <v>4665945000183</v>
      </c>
      <c r="H587" s="39">
        <v>3320</v>
      </c>
      <c r="I587" s="216">
        <v>46122</v>
      </c>
      <c r="J587" s="7" t="s">
        <v>91</v>
      </c>
      <c r="K587" s="26" t="s">
        <v>381</v>
      </c>
      <c r="L587" s="6">
        <v>46052</v>
      </c>
      <c r="M587" s="5" t="str">
        <f ca="1">IF(Tabela4[[#This Row],[RECOMPRADO]]="RECEBIDO","LIQUIDADO",IF(O587="LIQUIDADO","LIQUIDADO",IF(I587&lt;$I$5,"VENCIDO","A VENCER")))</f>
        <v>A VENCER</v>
      </c>
      <c r="N587" s="211">
        <f ca="1">IF(Tabela4[[#This Row],[STATUS]]="LIQUIDADO","",Tabela4[[#This Row],[VCTO]]-$I$5)</f>
        <v>24</v>
      </c>
      <c r="O587" s="6"/>
      <c r="P587" s="6"/>
      <c r="Q587" s="5"/>
      <c r="R587" s="5"/>
      <c r="S587" s="5"/>
      <c r="T587" s="5" t="s">
        <v>575</v>
      </c>
      <c r="U587" s="5"/>
      <c r="V587" s="5"/>
    </row>
    <row r="588" spans="1:22">
      <c r="A588" s="5" t="s">
        <v>0</v>
      </c>
      <c r="B588" s="6">
        <v>46052</v>
      </c>
      <c r="C588" s="6" t="s">
        <v>41</v>
      </c>
      <c r="D588" s="26">
        <v>352</v>
      </c>
      <c r="E588" s="35" t="s">
        <v>92</v>
      </c>
      <c r="F588" s="5" t="s">
        <v>280</v>
      </c>
      <c r="G588" s="220">
        <v>7205093000160</v>
      </c>
      <c r="H588" s="39">
        <v>20303.330000000002</v>
      </c>
      <c r="I588" s="216">
        <v>46092</v>
      </c>
      <c r="J588" s="7" t="s">
        <v>91</v>
      </c>
      <c r="K588" s="5" t="s">
        <v>381</v>
      </c>
      <c r="L588" s="6">
        <v>46052</v>
      </c>
      <c r="M588" s="5" t="str">
        <f>IF(Tabela4[[#This Row],[RECOMPRADO]]="RECEBIDO","LIQUIDADO",IF(O588="LIQUIDADO","LIQUIDADO",IF(I588&lt;$I$5,"VENCIDO","A VENCER")))</f>
        <v>LIQUIDADO</v>
      </c>
      <c r="N588" s="211" t="str">
        <f>IF(Tabela4[[#This Row],[STATUS]]="LIQUIDADO","",Tabela4[[#This Row],[VCTO]]-$I$5)</f>
        <v/>
      </c>
      <c r="O588" s="219" t="s">
        <v>86</v>
      </c>
      <c r="P588" s="6"/>
      <c r="Q588" s="5"/>
      <c r="R588" s="5"/>
      <c r="S588" s="5"/>
      <c r="T588" s="5" t="s">
        <v>619</v>
      </c>
      <c r="U588" s="5"/>
      <c r="V588" s="5"/>
    </row>
    <row r="589" spans="1:22">
      <c r="A589" s="26" t="s">
        <v>0</v>
      </c>
      <c r="B589" s="11">
        <v>46052</v>
      </c>
      <c r="C589" s="6" t="s">
        <v>41</v>
      </c>
      <c r="D589" s="26">
        <v>352</v>
      </c>
      <c r="E589" s="35" t="s">
        <v>95</v>
      </c>
      <c r="F589" s="26" t="s">
        <v>280</v>
      </c>
      <c r="G589" s="220">
        <v>7205093000160</v>
      </c>
      <c r="H589" s="39">
        <v>20303.330000000002</v>
      </c>
      <c r="I589" s="216">
        <v>46122</v>
      </c>
      <c r="J589" s="7" t="s">
        <v>91</v>
      </c>
      <c r="K589" s="26" t="s">
        <v>381</v>
      </c>
      <c r="L589" s="6">
        <v>46052</v>
      </c>
      <c r="M589" s="5" t="str">
        <f ca="1">IF(Tabela4[[#This Row],[RECOMPRADO]]="RECEBIDO","LIQUIDADO",IF(O589="LIQUIDADO","LIQUIDADO",IF(I589&lt;$I$5,"VENCIDO","A VENCER")))</f>
        <v>A VENCER</v>
      </c>
      <c r="N589" s="211">
        <f ca="1">IF(Tabela4[[#This Row],[STATUS]]="LIQUIDADO","",Tabela4[[#This Row],[VCTO]]-$I$5)</f>
        <v>24</v>
      </c>
      <c r="O589" s="219"/>
      <c r="P589" s="6"/>
      <c r="Q589" s="5"/>
      <c r="R589" s="5"/>
      <c r="S589" s="5"/>
      <c r="T589" s="5"/>
      <c r="U589" s="5"/>
      <c r="V589" s="5"/>
    </row>
    <row r="590" spans="1:22">
      <c r="A590" s="5" t="s">
        <v>0</v>
      </c>
      <c r="B590" s="6">
        <v>46052</v>
      </c>
      <c r="C590" s="6" t="s">
        <v>41</v>
      </c>
      <c r="D590" s="26">
        <v>352</v>
      </c>
      <c r="E590" s="35" t="s">
        <v>96</v>
      </c>
      <c r="F590" s="5" t="s">
        <v>280</v>
      </c>
      <c r="G590" s="220">
        <v>7205093000160</v>
      </c>
      <c r="H590" s="39">
        <v>20303.34</v>
      </c>
      <c r="I590" s="216">
        <v>46152</v>
      </c>
      <c r="J590" s="7" t="s">
        <v>91</v>
      </c>
      <c r="K590" s="5" t="s">
        <v>381</v>
      </c>
      <c r="L590" s="6">
        <v>46052</v>
      </c>
      <c r="M590" s="5" t="str">
        <f ca="1">IF(Tabela4[[#This Row],[RECOMPRADO]]="RECEBIDO","LIQUIDADO",IF(O590="LIQUIDADO","LIQUIDADO",IF(I590&lt;$I$5,"VENCIDO","A VENCER")))</f>
        <v>A VENCER</v>
      </c>
      <c r="N590" s="211">
        <f ca="1">IF(Tabela4[[#This Row],[STATUS]]="LIQUIDADO","",Tabela4[[#This Row],[VCTO]]-$I$5)</f>
        <v>54</v>
      </c>
      <c r="O590" s="219"/>
      <c r="P590" s="6"/>
      <c r="Q590" s="5"/>
      <c r="R590" s="5"/>
      <c r="S590" s="5"/>
      <c r="T590" s="5"/>
      <c r="U590" s="5"/>
      <c r="V590" s="5"/>
    </row>
    <row r="591" spans="1:22">
      <c r="A591" s="26" t="s">
        <v>0</v>
      </c>
      <c r="B591" s="11">
        <v>46052</v>
      </c>
      <c r="C591" s="6" t="s">
        <v>41</v>
      </c>
      <c r="D591" s="26">
        <v>353</v>
      </c>
      <c r="E591" s="35" t="s">
        <v>92</v>
      </c>
      <c r="F591" s="26" t="s">
        <v>281</v>
      </c>
      <c r="G591" s="220">
        <v>45992766000138</v>
      </c>
      <c r="H591" s="39">
        <v>791.77</v>
      </c>
      <c r="I591" s="216">
        <v>46087</v>
      </c>
      <c r="J591" s="7" t="s">
        <v>91</v>
      </c>
      <c r="K591" s="26" t="s">
        <v>381</v>
      </c>
      <c r="L591" s="6">
        <v>46052</v>
      </c>
      <c r="M591" s="5" t="str">
        <f ca="1">IF(Tabela4[[#This Row],[RECOMPRADO]]="RECEBIDO","LIQUIDADO",IF(O591="LIQUIDADO","LIQUIDADO",IF(I591&lt;$I$5,"VENCIDO","A VENCER")))</f>
        <v>VENCIDO</v>
      </c>
      <c r="N591" s="211">
        <f ca="1">IF(Tabela4[[#This Row],[STATUS]]="LIQUIDADO","",Tabela4[[#This Row],[VCTO]]-$I$5)</f>
        <v>-11</v>
      </c>
      <c r="O591" s="6"/>
      <c r="P591" s="6"/>
      <c r="Q591" s="5"/>
      <c r="R591" s="5"/>
      <c r="S591" s="5"/>
      <c r="T591" s="5" t="s">
        <v>627</v>
      </c>
      <c r="U591" s="5"/>
      <c r="V591" s="5"/>
    </row>
    <row r="592" spans="1:22">
      <c r="A592" s="5" t="s">
        <v>0</v>
      </c>
      <c r="B592" s="6">
        <v>46052</v>
      </c>
      <c r="C592" s="6" t="s">
        <v>41</v>
      </c>
      <c r="D592" s="26">
        <v>353</v>
      </c>
      <c r="E592" s="35" t="s">
        <v>95</v>
      </c>
      <c r="F592" s="5" t="s">
        <v>281</v>
      </c>
      <c r="G592" s="220">
        <v>45992766000138</v>
      </c>
      <c r="H592" s="39">
        <v>612.5</v>
      </c>
      <c r="I592" s="216">
        <v>46094</v>
      </c>
      <c r="J592" s="7" t="s">
        <v>91</v>
      </c>
      <c r="K592" s="5" t="s">
        <v>381</v>
      </c>
      <c r="L592" s="6">
        <v>46052</v>
      </c>
      <c r="M592" s="5" t="str">
        <f ca="1">IF(Tabela4[[#This Row],[RECOMPRADO]]="RECEBIDO","LIQUIDADO",IF(O592="LIQUIDADO","LIQUIDADO",IF(I592&lt;$I$5,"VENCIDO","A VENCER")))</f>
        <v>VENCIDO</v>
      </c>
      <c r="N592" s="211">
        <f ca="1">IF(Tabela4[[#This Row],[STATUS]]="LIQUIDADO","",Tabela4[[#This Row],[VCTO]]-$I$5)</f>
        <v>-4</v>
      </c>
      <c r="O592" s="6"/>
      <c r="P592" s="6"/>
      <c r="Q592" s="5"/>
      <c r="R592" s="5"/>
      <c r="S592" s="5"/>
      <c r="T592" s="5" t="s">
        <v>627</v>
      </c>
      <c r="U592" s="5"/>
      <c r="V592" s="5"/>
    </row>
    <row r="593" spans="1:22">
      <c r="A593" s="26" t="s">
        <v>0</v>
      </c>
      <c r="B593" s="11">
        <v>46052</v>
      </c>
      <c r="C593" s="6" t="s">
        <v>41</v>
      </c>
      <c r="D593" s="26">
        <v>353</v>
      </c>
      <c r="E593" s="35" t="s">
        <v>96</v>
      </c>
      <c r="F593" s="26" t="s">
        <v>281</v>
      </c>
      <c r="G593" s="220">
        <v>45992766000138</v>
      </c>
      <c r="H593" s="39">
        <v>612.5</v>
      </c>
      <c r="I593" s="216">
        <v>46101</v>
      </c>
      <c r="J593" s="7" t="s">
        <v>91</v>
      </c>
      <c r="K593" s="26" t="s">
        <v>381</v>
      </c>
      <c r="L593" s="6">
        <v>46052</v>
      </c>
      <c r="M593" s="5" t="str">
        <f ca="1">IF(Tabela4[[#This Row],[RECOMPRADO]]="RECEBIDO","LIQUIDADO",IF(O593="LIQUIDADO","LIQUIDADO",IF(I593&lt;$I$5,"VENCIDO","A VENCER")))</f>
        <v>A VENCER</v>
      </c>
      <c r="N593" s="211">
        <f ca="1">IF(Tabela4[[#This Row],[STATUS]]="LIQUIDADO","",Tabela4[[#This Row],[VCTO]]-$I$5)</f>
        <v>3</v>
      </c>
      <c r="O593" s="6"/>
      <c r="P593" s="6"/>
      <c r="Q593" s="5"/>
      <c r="R593" s="5"/>
      <c r="S593" s="5"/>
      <c r="T593" s="5"/>
      <c r="U593" s="5"/>
      <c r="V593" s="5"/>
    </row>
    <row r="594" spans="1:22">
      <c r="A594" s="5" t="s">
        <v>0</v>
      </c>
      <c r="B594" s="6">
        <v>46052</v>
      </c>
      <c r="C594" s="6" t="s">
        <v>41</v>
      </c>
      <c r="D594" s="26">
        <v>353</v>
      </c>
      <c r="E594" s="35" t="s">
        <v>97</v>
      </c>
      <c r="F594" s="5" t="s">
        <v>281</v>
      </c>
      <c r="G594" s="220">
        <v>45992766000138</v>
      </c>
      <c r="H594" s="39">
        <v>612.5</v>
      </c>
      <c r="I594" s="216">
        <v>46108</v>
      </c>
      <c r="J594" s="7" t="s">
        <v>91</v>
      </c>
      <c r="K594" s="5" t="s">
        <v>381</v>
      </c>
      <c r="L594" s="6">
        <v>46052</v>
      </c>
      <c r="M594" s="5" t="str">
        <f ca="1">IF(Tabela4[[#This Row],[RECOMPRADO]]="RECEBIDO","LIQUIDADO",IF(O594="LIQUIDADO","LIQUIDADO",IF(I594&lt;$I$5,"VENCIDO","A VENCER")))</f>
        <v>A VENCER</v>
      </c>
      <c r="N594" s="211">
        <f ca="1">IF(Tabela4[[#This Row],[STATUS]]="LIQUIDADO","",Tabela4[[#This Row],[VCTO]]-$I$5)</f>
        <v>10</v>
      </c>
      <c r="O594" s="219"/>
      <c r="P594" s="6"/>
      <c r="Q594" s="5"/>
      <c r="R594" s="5"/>
      <c r="S594" s="5"/>
      <c r="T594" s="5"/>
      <c r="U594" s="5"/>
      <c r="V594" s="5"/>
    </row>
    <row r="595" spans="1:22">
      <c r="A595" s="26" t="s">
        <v>0</v>
      </c>
      <c r="B595" s="11">
        <v>46052</v>
      </c>
      <c r="C595" s="6" t="s">
        <v>43</v>
      </c>
      <c r="D595" s="26">
        <v>353</v>
      </c>
      <c r="E595" s="35" t="s">
        <v>92</v>
      </c>
      <c r="F595" s="26" t="s">
        <v>281</v>
      </c>
      <c r="G595" s="220">
        <v>45992766000138</v>
      </c>
      <c r="H595" s="39">
        <v>612.5</v>
      </c>
      <c r="I595" s="216">
        <v>46087</v>
      </c>
      <c r="J595" s="7" t="s">
        <v>91</v>
      </c>
      <c r="K595" s="26" t="s">
        <v>381</v>
      </c>
      <c r="L595" s="6">
        <v>46052</v>
      </c>
      <c r="M595" s="5" t="str">
        <f ca="1">IF(Tabela4[[#This Row],[RECOMPRADO]]="RECEBIDO","LIQUIDADO",IF(O595="LIQUIDADO","LIQUIDADO",IF(I595&lt;$I$5,"VENCIDO","A VENCER")))</f>
        <v>VENCIDO</v>
      </c>
      <c r="N595" s="211">
        <f ca="1">IF(Tabela4[[#This Row],[STATUS]]="LIQUIDADO","",Tabela4[[#This Row],[VCTO]]-$I$5)</f>
        <v>-11</v>
      </c>
      <c r="O595" s="219"/>
      <c r="P595" s="6"/>
      <c r="Q595" s="5"/>
      <c r="R595" s="5"/>
      <c r="S595" s="5"/>
      <c r="T595" s="5" t="s">
        <v>628</v>
      </c>
      <c r="U595" s="5"/>
      <c r="V595" s="5"/>
    </row>
    <row r="596" spans="1:22">
      <c r="A596" s="5" t="s">
        <v>0</v>
      </c>
      <c r="B596" s="6">
        <v>46052</v>
      </c>
      <c r="C596" s="6" t="s">
        <v>43</v>
      </c>
      <c r="D596" s="26">
        <v>353</v>
      </c>
      <c r="E596" s="35" t="s">
        <v>95</v>
      </c>
      <c r="F596" s="5" t="s">
        <v>281</v>
      </c>
      <c r="G596" s="220">
        <v>45992766000138</v>
      </c>
      <c r="H596" s="39">
        <v>612.5</v>
      </c>
      <c r="I596" s="216">
        <v>46094</v>
      </c>
      <c r="J596" s="7" t="s">
        <v>91</v>
      </c>
      <c r="K596" s="5" t="s">
        <v>381</v>
      </c>
      <c r="L596" s="6">
        <v>46052</v>
      </c>
      <c r="M596" s="5" t="str">
        <f ca="1">IF(Tabela4[[#This Row],[RECOMPRADO]]="RECEBIDO","LIQUIDADO",IF(O596="LIQUIDADO","LIQUIDADO",IF(I596&lt;$I$5,"VENCIDO","A VENCER")))</f>
        <v>VENCIDO</v>
      </c>
      <c r="N596" s="211">
        <f ca="1">IF(Tabela4[[#This Row],[STATUS]]="LIQUIDADO","",Tabela4[[#This Row],[VCTO]]-$I$5)</f>
        <v>-4</v>
      </c>
      <c r="O596" s="219"/>
      <c r="P596" s="6"/>
      <c r="Q596" s="5"/>
      <c r="R596" s="5"/>
      <c r="S596" s="5"/>
      <c r="T596" s="5" t="s">
        <v>627</v>
      </c>
      <c r="U596" s="5"/>
      <c r="V596" s="5"/>
    </row>
    <row r="597" spans="1:22">
      <c r="A597" s="5" t="s">
        <v>0</v>
      </c>
      <c r="B597" s="6">
        <v>46052</v>
      </c>
      <c r="C597" s="6" t="s">
        <v>43</v>
      </c>
      <c r="D597" s="26">
        <v>353</v>
      </c>
      <c r="E597" s="35" t="s">
        <v>96</v>
      </c>
      <c r="F597" s="5" t="s">
        <v>281</v>
      </c>
      <c r="G597" s="220">
        <v>45992766000138</v>
      </c>
      <c r="H597" s="39">
        <v>612.5</v>
      </c>
      <c r="I597" s="216">
        <v>46101</v>
      </c>
      <c r="J597" s="7" t="s">
        <v>91</v>
      </c>
      <c r="K597" s="5" t="s">
        <v>381</v>
      </c>
      <c r="L597" s="6">
        <v>46052</v>
      </c>
      <c r="M597" s="5" t="str">
        <f ca="1">IF(Tabela4[[#This Row],[RECOMPRADO]]="RECEBIDO","LIQUIDADO",IF(O597="LIQUIDADO","LIQUIDADO",IF(I597&lt;$I$5,"VENCIDO","A VENCER")))</f>
        <v>A VENCER</v>
      </c>
      <c r="N597" s="211">
        <f ca="1">IF(Tabela4[[#This Row],[STATUS]]="LIQUIDADO","",Tabela4[[#This Row],[VCTO]]-$I$5)</f>
        <v>3</v>
      </c>
      <c r="O597" s="6"/>
      <c r="P597" s="6"/>
      <c r="Q597" s="5"/>
      <c r="R597" s="5"/>
      <c r="S597" s="5"/>
      <c r="T597" s="5"/>
      <c r="U597" s="5"/>
      <c r="V597" s="5"/>
    </row>
    <row r="598" spans="1:22">
      <c r="A598" s="26" t="s">
        <v>0</v>
      </c>
      <c r="B598" s="11">
        <v>46052</v>
      </c>
      <c r="C598" s="6" t="s">
        <v>43</v>
      </c>
      <c r="D598" s="26">
        <v>353</v>
      </c>
      <c r="E598" s="35" t="s">
        <v>97</v>
      </c>
      <c r="F598" s="26" t="s">
        <v>281</v>
      </c>
      <c r="G598" s="220">
        <v>45992766000138</v>
      </c>
      <c r="H598" s="39">
        <v>612.5</v>
      </c>
      <c r="I598" s="216">
        <v>46108</v>
      </c>
      <c r="J598" s="7" t="s">
        <v>91</v>
      </c>
      <c r="K598" s="26" t="s">
        <v>381</v>
      </c>
      <c r="L598" s="6">
        <v>46052</v>
      </c>
      <c r="M598" s="5" t="str">
        <f ca="1">IF(Tabela4[[#This Row],[RECOMPRADO]]="RECEBIDO","LIQUIDADO",IF(O598="LIQUIDADO","LIQUIDADO",IF(I598&lt;$I$5,"VENCIDO","A VENCER")))</f>
        <v>A VENCER</v>
      </c>
      <c r="N598" s="211">
        <f ca="1">IF(Tabela4[[#This Row],[STATUS]]="LIQUIDADO","",Tabela4[[#This Row],[VCTO]]-$I$5)</f>
        <v>10</v>
      </c>
      <c r="O598" s="6"/>
      <c r="P598" s="6"/>
      <c r="Q598" s="5"/>
      <c r="R598" s="5"/>
      <c r="S598" s="5"/>
      <c r="T598" s="5"/>
      <c r="U598" s="5"/>
      <c r="V598" s="5"/>
    </row>
    <row r="599" spans="1:22">
      <c r="A599" s="5" t="s">
        <v>0</v>
      </c>
      <c r="B599" s="6">
        <v>46052</v>
      </c>
      <c r="C599" s="6" t="s">
        <v>41</v>
      </c>
      <c r="D599" s="26">
        <v>354</v>
      </c>
      <c r="E599" s="35" t="s">
        <v>92</v>
      </c>
      <c r="F599" s="5" t="s">
        <v>282</v>
      </c>
      <c r="G599" s="220">
        <v>1536019500158</v>
      </c>
      <c r="H599" s="39">
        <v>2437.5</v>
      </c>
      <c r="I599" s="216">
        <v>46087</v>
      </c>
      <c r="J599" s="7" t="s">
        <v>91</v>
      </c>
      <c r="K599" s="5" t="s">
        <v>381</v>
      </c>
      <c r="L599" s="6">
        <v>46052</v>
      </c>
      <c r="M599" s="5" t="str">
        <f>IF(Tabela4[[#This Row],[RECOMPRADO]]="RECEBIDO","LIQUIDADO",IF(O599="LIQUIDADO","LIQUIDADO",IF(I599&lt;$I$5,"VENCIDO","A VENCER")))</f>
        <v>LIQUIDADO</v>
      </c>
      <c r="N599" s="211" t="str">
        <f>IF(Tabela4[[#This Row],[STATUS]]="LIQUIDADO","",Tabela4[[#This Row],[VCTO]]-$I$5)</f>
        <v/>
      </c>
      <c r="O599" s="6" t="s">
        <v>86</v>
      </c>
      <c r="P599" s="6"/>
      <c r="Q599" s="5"/>
      <c r="R599" s="5"/>
      <c r="S599" s="5"/>
      <c r="T599" s="5" t="s">
        <v>587</v>
      </c>
      <c r="U599" s="5"/>
      <c r="V599" s="5"/>
    </row>
    <row r="600" spans="1:22">
      <c r="A600" s="26" t="s">
        <v>0</v>
      </c>
      <c r="B600" s="11">
        <v>46052</v>
      </c>
      <c r="C600" s="6" t="s">
        <v>41</v>
      </c>
      <c r="D600" s="26">
        <v>354</v>
      </c>
      <c r="E600" s="35" t="s">
        <v>95</v>
      </c>
      <c r="F600" s="26" t="s">
        <v>282</v>
      </c>
      <c r="G600" s="220">
        <v>1536019500158</v>
      </c>
      <c r="H600" s="39">
        <v>2437.5</v>
      </c>
      <c r="I600" s="216">
        <v>46094</v>
      </c>
      <c r="J600" s="7" t="s">
        <v>91</v>
      </c>
      <c r="K600" s="26" t="s">
        <v>381</v>
      </c>
      <c r="L600" s="6">
        <v>46052</v>
      </c>
      <c r="M600" s="5" t="str">
        <f>IF(Tabela4[[#This Row],[RECOMPRADO]]="RECEBIDO","LIQUIDADO",IF(O600="LIQUIDADO","LIQUIDADO",IF(I600&lt;$I$5,"VENCIDO","A VENCER")))</f>
        <v>LIQUIDADO</v>
      </c>
      <c r="N600" s="211" t="str">
        <f>IF(Tabela4[[#This Row],[STATUS]]="LIQUIDADO","",Tabela4[[#This Row],[VCTO]]-$I$5)</f>
        <v/>
      </c>
      <c r="O600" s="219" t="s">
        <v>86</v>
      </c>
      <c r="P600" s="6"/>
      <c r="Q600" s="5"/>
      <c r="R600" s="5"/>
      <c r="S600" s="5"/>
      <c r="T600" s="5" t="s">
        <v>587</v>
      </c>
      <c r="U600" s="5"/>
      <c r="V600" s="5"/>
    </row>
    <row r="601" spans="1:22">
      <c r="A601" s="5" t="s">
        <v>0</v>
      </c>
      <c r="B601" s="6">
        <v>46052</v>
      </c>
      <c r="C601" s="6" t="s">
        <v>41</v>
      </c>
      <c r="D601" s="26">
        <v>354</v>
      </c>
      <c r="E601" s="35" t="s">
        <v>96</v>
      </c>
      <c r="F601" s="5" t="s">
        <v>282</v>
      </c>
      <c r="G601" s="220">
        <v>1536019500158</v>
      </c>
      <c r="H601" s="39">
        <v>2437.5</v>
      </c>
      <c r="I601" s="216">
        <v>46101</v>
      </c>
      <c r="J601" s="7" t="s">
        <v>91</v>
      </c>
      <c r="K601" s="5" t="s">
        <v>381</v>
      </c>
      <c r="L601" s="6">
        <v>46052</v>
      </c>
      <c r="M601" s="5" t="str">
        <f ca="1">IF(Tabela4[[#This Row],[RECOMPRADO]]="RECEBIDO","LIQUIDADO",IF(O601="LIQUIDADO","LIQUIDADO",IF(I601&lt;$I$5,"VENCIDO","A VENCER")))</f>
        <v>A VENCER</v>
      </c>
      <c r="N601" s="211">
        <f ca="1">IF(Tabela4[[#This Row],[STATUS]]="LIQUIDADO","",Tabela4[[#This Row],[VCTO]]-$I$5)</f>
        <v>3</v>
      </c>
      <c r="O601" s="219"/>
      <c r="P601" s="6"/>
      <c r="Q601" s="5"/>
      <c r="R601" s="5"/>
      <c r="S601" s="5"/>
      <c r="T601" s="5" t="s">
        <v>587</v>
      </c>
      <c r="U601" s="5"/>
      <c r="V601" s="5"/>
    </row>
    <row r="602" spans="1:22">
      <c r="A602" s="26" t="s">
        <v>0</v>
      </c>
      <c r="B602" s="11">
        <v>46052</v>
      </c>
      <c r="C602" s="6" t="s">
        <v>41</v>
      </c>
      <c r="D602" s="26">
        <v>354</v>
      </c>
      <c r="E602" s="35" t="s">
        <v>97</v>
      </c>
      <c r="F602" s="26" t="s">
        <v>282</v>
      </c>
      <c r="G602" s="220">
        <v>1536019500158</v>
      </c>
      <c r="H602" s="39">
        <v>2437.5</v>
      </c>
      <c r="I602" s="216">
        <v>46108</v>
      </c>
      <c r="J602" s="7" t="s">
        <v>91</v>
      </c>
      <c r="K602" s="26" t="s">
        <v>381</v>
      </c>
      <c r="L602" s="6">
        <v>46052</v>
      </c>
      <c r="M602" s="5" t="str">
        <f ca="1">IF(Tabela4[[#This Row],[RECOMPRADO]]="RECEBIDO","LIQUIDADO",IF(O602="LIQUIDADO","LIQUIDADO",IF(I602&lt;$I$5,"VENCIDO","A VENCER")))</f>
        <v>A VENCER</v>
      </c>
      <c r="N602" s="211">
        <f ca="1">IF(Tabela4[[#This Row],[STATUS]]="LIQUIDADO","",Tabela4[[#This Row],[VCTO]]-$I$5)</f>
        <v>10</v>
      </c>
      <c r="O602" s="219"/>
      <c r="P602" s="6"/>
      <c r="Q602" s="5"/>
      <c r="R602" s="5"/>
      <c r="S602" s="5"/>
      <c r="T602" s="5" t="s">
        <v>587</v>
      </c>
      <c r="U602" s="5"/>
      <c r="V602" s="5"/>
    </row>
    <row r="603" spans="1:22">
      <c r="A603" s="5" t="s">
        <v>0</v>
      </c>
      <c r="B603" s="6">
        <v>46052</v>
      </c>
      <c r="C603" s="6" t="s">
        <v>43</v>
      </c>
      <c r="D603" s="26">
        <v>354</v>
      </c>
      <c r="E603" s="35" t="s">
        <v>92</v>
      </c>
      <c r="F603" s="5" t="s">
        <v>282</v>
      </c>
      <c r="G603" s="220">
        <v>1536019500158</v>
      </c>
      <c r="H603" s="39">
        <v>2437.5</v>
      </c>
      <c r="I603" s="216">
        <v>46087</v>
      </c>
      <c r="J603" s="7" t="s">
        <v>91</v>
      </c>
      <c r="K603" s="5" t="s">
        <v>381</v>
      </c>
      <c r="L603" s="6">
        <v>46052</v>
      </c>
      <c r="M603" s="5" t="str">
        <f>IF(Tabela4[[#This Row],[RECOMPRADO]]="RECEBIDO","LIQUIDADO",IF(O603="LIQUIDADO","LIQUIDADO",IF(I603&lt;$I$5,"VENCIDO","A VENCER")))</f>
        <v>LIQUIDADO</v>
      </c>
      <c r="N603" s="211" t="str">
        <f>IF(Tabela4[[#This Row],[STATUS]]="LIQUIDADO","",Tabela4[[#This Row],[VCTO]]-$I$5)</f>
        <v/>
      </c>
      <c r="O603" s="6" t="s">
        <v>86</v>
      </c>
      <c r="P603" s="6"/>
      <c r="Q603" s="5"/>
      <c r="R603" s="5"/>
      <c r="S603" s="5"/>
      <c r="T603" s="5" t="s">
        <v>587</v>
      </c>
      <c r="U603" s="5"/>
      <c r="V603" s="5"/>
    </row>
    <row r="604" spans="1:22">
      <c r="A604" s="26" t="s">
        <v>0</v>
      </c>
      <c r="B604" s="11">
        <v>46052</v>
      </c>
      <c r="C604" s="6" t="s">
        <v>43</v>
      </c>
      <c r="D604" s="26">
        <v>354</v>
      </c>
      <c r="E604" s="35" t="s">
        <v>95</v>
      </c>
      <c r="F604" s="26" t="s">
        <v>282</v>
      </c>
      <c r="G604" s="220">
        <v>1536019500158</v>
      </c>
      <c r="H604" s="39">
        <v>2437.5</v>
      </c>
      <c r="I604" s="216">
        <v>46094</v>
      </c>
      <c r="J604" s="7" t="s">
        <v>91</v>
      </c>
      <c r="K604" s="26" t="s">
        <v>381</v>
      </c>
      <c r="L604" s="6">
        <v>46052</v>
      </c>
      <c r="M604" s="5" t="str">
        <f>IF(Tabela4[[#This Row],[RECOMPRADO]]="RECEBIDO","LIQUIDADO",IF(O604="LIQUIDADO","LIQUIDADO",IF(I604&lt;$I$5,"VENCIDO","A VENCER")))</f>
        <v>LIQUIDADO</v>
      </c>
      <c r="N604" s="211" t="str">
        <f>IF(Tabela4[[#This Row],[STATUS]]="LIQUIDADO","",Tabela4[[#This Row],[VCTO]]-$I$5)</f>
        <v/>
      </c>
      <c r="O604" s="6" t="s">
        <v>86</v>
      </c>
      <c r="P604" s="6"/>
      <c r="Q604" s="5"/>
      <c r="R604" s="5"/>
      <c r="S604" s="5"/>
      <c r="T604" s="5" t="s">
        <v>587</v>
      </c>
      <c r="U604" s="5"/>
      <c r="V604" s="5"/>
    </row>
    <row r="605" spans="1:22">
      <c r="A605" s="5" t="s">
        <v>0</v>
      </c>
      <c r="B605" s="6">
        <v>46052</v>
      </c>
      <c r="C605" s="6" t="s">
        <v>43</v>
      </c>
      <c r="D605" s="26">
        <v>354</v>
      </c>
      <c r="E605" s="35" t="s">
        <v>96</v>
      </c>
      <c r="F605" s="5" t="s">
        <v>282</v>
      </c>
      <c r="G605" s="220">
        <v>1536019500158</v>
      </c>
      <c r="H605" s="39">
        <v>2437.5</v>
      </c>
      <c r="I605" s="216">
        <v>46101</v>
      </c>
      <c r="J605" s="7" t="s">
        <v>91</v>
      </c>
      <c r="K605" s="5" t="s">
        <v>381</v>
      </c>
      <c r="L605" s="6">
        <v>46052</v>
      </c>
      <c r="M605" s="5" t="str">
        <f ca="1">IF(Tabela4[[#This Row],[RECOMPRADO]]="RECEBIDO","LIQUIDADO",IF(O605="LIQUIDADO","LIQUIDADO",IF(I605&lt;$I$5,"VENCIDO","A VENCER")))</f>
        <v>A VENCER</v>
      </c>
      <c r="N605" s="211">
        <f ca="1">IF(Tabela4[[#This Row],[STATUS]]="LIQUIDADO","",Tabela4[[#This Row],[VCTO]]-$I$5)</f>
        <v>3</v>
      </c>
      <c r="O605" s="6"/>
      <c r="P605" s="6"/>
      <c r="Q605" s="5"/>
      <c r="R605" s="5"/>
      <c r="S605" s="5"/>
      <c r="T605" s="5" t="s">
        <v>587</v>
      </c>
      <c r="U605" s="5"/>
      <c r="V605" s="5"/>
    </row>
    <row r="606" spans="1:22">
      <c r="A606" s="26" t="s">
        <v>0</v>
      </c>
      <c r="B606" s="11">
        <v>46052</v>
      </c>
      <c r="C606" s="6" t="s">
        <v>43</v>
      </c>
      <c r="D606" s="26">
        <v>354</v>
      </c>
      <c r="E606" s="35" t="s">
        <v>97</v>
      </c>
      <c r="F606" s="26" t="s">
        <v>282</v>
      </c>
      <c r="G606" s="220">
        <v>1536019500158</v>
      </c>
      <c r="H606" s="39">
        <v>2437.5</v>
      </c>
      <c r="I606" s="216">
        <v>46108</v>
      </c>
      <c r="J606" s="7" t="s">
        <v>91</v>
      </c>
      <c r="K606" s="26" t="s">
        <v>381</v>
      </c>
      <c r="L606" s="6">
        <v>46052</v>
      </c>
      <c r="M606" s="5" t="str">
        <f ca="1">IF(Tabela4[[#This Row],[RECOMPRADO]]="RECEBIDO","LIQUIDADO",IF(O606="LIQUIDADO","LIQUIDADO",IF(I606&lt;$I$5,"VENCIDO","A VENCER")))</f>
        <v>A VENCER</v>
      </c>
      <c r="N606" s="211">
        <f ca="1">IF(Tabela4[[#This Row],[STATUS]]="LIQUIDADO","",Tabela4[[#This Row],[VCTO]]-$I$5)</f>
        <v>10</v>
      </c>
      <c r="O606" s="219"/>
      <c r="P606" s="6"/>
      <c r="Q606" s="5"/>
      <c r="R606" s="5"/>
      <c r="S606" s="5"/>
      <c r="T606" s="5" t="s">
        <v>587</v>
      </c>
      <c r="U606" s="5"/>
      <c r="V606" s="5"/>
    </row>
    <row r="607" spans="1:22">
      <c r="A607" s="5" t="s">
        <v>0</v>
      </c>
      <c r="B607" s="6">
        <v>46052</v>
      </c>
      <c r="C607" s="6" t="s">
        <v>41</v>
      </c>
      <c r="D607" s="26">
        <v>355</v>
      </c>
      <c r="E607" s="35" t="s">
        <v>92</v>
      </c>
      <c r="F607" s="5" t="s">
        <v>283</v>
      </c>
      <c r="G607" s="220" t="s">
        <v>395</v>
      </c>
      <c r="H607" s="39">
        <v>646.66999999999996</v>
      </c>
      <c r="I607" s="216">
        <v>46086</v>
      </c>
      <c r="J607" s="7" t="s">
        <v>91</v>
      </c>
      <c r="K607" s="5" t="s">
        <v>381</v>
      </c>
      <c r="L607" s="6">
        <v>46052</v>
      </c>
      <c r="M607" s="5" t="str">
        <f>IF(Tabela4[[#This Row],[RECOMPRADO]]="RECEBIDO","LIQUIDADO",IF(O607="LIQUIDADO","LIQUIDADO",IF(I607&lt;$I$5,"VENCIDO","A VENCER")))</f>
        <v>LIQUIDADO</v>
      </c>
      <c r="N607" s="211" t="str">
        <f>IF(Tabela4[[#This Row],[STATUS]]="LIQUIDADO","",Tabela4[[#This Row],[VCTO]]-$I$5)</f>
        <v/>
      </c>
      <c r="O607" s="219" t="s">
        <v>86</v>
      </c>
      <c r="P607" s="6"/>
      <c r="Q607" s="5"/>
      <c r="R607" s="5"/>
      <c r="S607" s="5"/>
      <c r="T607" s="5"/>
      <c r="U607" s="5"/>
      <c r="V607" s="5"/>
    </row>
    <row r="608" spans="1:22">
      <c r="A608" s="26" t="s">
        <v>0</v>
      </c>
      <c r="B608" s="11">
        <v>46052</v>
      </c>
      <c r="C608" s="6" t="s">
        <v>41</v>
      </c>
      <c r="D608" s="26">
        <v>355</v>
      </c>
      <c r="E608" s="35" t="s">
        <v>95</v>
      </c>
      <c r="F608" s="26" t="s">
        <v>283</v>
      </c>
      <c r="G608" s="220" t="s">
        <v>395</v>
      </c>
      <c r="H608" s="39">
        <v>646.66999999999996</v>
      </c>
      <c r="I608" s="216">
        <v>46093</v>
      </c>
      <c r="J608" s="7" t="s">
        <v>91</v>
      </c>
      <c r="K608" s="26" t="s">
        <v>381</v>
      </c>
      <c r="L608" s="6">
        <v>46052</v>
      </c>
      <c r="M608" s="5" t="str">
        <f>IF(Tabela4[[#This Row],[RECOMPRADO]]="RECEBIDO","LIQUIDADO",IF(O608="LIQUIDADO","LIQUIDADO",IF(I608&lt;$I$5,"VENCIDO","A VENCER")))</f>
        <v>LIQUIDADO</v>
      </c>
      <c r="N608" s="211" t="str">
        <f>IF(Tabela4[[#This Row],[STATUS]]="LIQUIDADO","",Tabela4[[#This Row],[VCTO]]-$I$5)</f>
        <v/>
      </c>
      <c r="O608" s="219" t="s">
        <v>86</v>
      </c>
      <c r="P608" s="6"/>
      <c r="Q608" s="5"/>
      <c r="R608" s="5"/>
      <c r="S608" s="5"/>
      <c r="T608" s="5"/>
      <c r="U608" s="5"/>
      <c r="V608" s="5"/>
    </row>
    <row r="609" spans="1:22">
      <c r="A609" s="5" t="s">
        <v>0</v>
      </c>
      <c r="B609" s="6">
        <v>46052</v>
      </c>
      <c r="C609" s="6" t="s">
        <v>41</v>
      </c>
      <c r="D609" s="26">
        <v>355</v>
      </c>
      <c r="E609" s="35" t="s">
        <v>96</v>
      </c>
      <c r="F609" s="5" t="s">
        <v>283</v>
      </c>
      <c r="G609" s="220" t="s">
        <v>395</v>
      </c>
      <c r="H609" s="39">
        <v>646.66999999999996</v>
      </c>
      <c r="I609" s="216">
        <v>46100</v>
      </c>
      <c r="J609" s="7" t="s">
        <v>91</v>
      </c>
      <c r="K609" s="5" t="s">
        <v>381</v>
      </c>
      <c r="L609" s="6">
        <v>46052</v>
      </c>
      <c r="M609" s="5" t="str">
        <f ca="1">IF(Tabela4[[#This Row],[RECOMPRADO]]="RECEBIDO","LIQUIDADO",IF(O609="LIQUIDADO","LIQUIDADO",IF(I609&lt;$I$5,"VENCIDO","A VENCER")))</f>
        <v>A VENCER</v>
      </c>
      <c r="N609" s="211">
        <f ca="1">IF(Tabela4[[#This Row],[STATUS]]="LIQUIDADO","",Tabela4[[#This Row],[VCTO]]-$I$5)</f>
        <v>2</v>
      </c>
      <c r="O609" s="6"/>
      <c r="P609" s="6"/>
      <c r="Q609" s="5"/>
      <c r="R609" s="5"/>
      <c r="S609" s="5"/>
      <c r="T609" s="5"/>
      <c r="U609" s="5"/>
      <c r="V609" s="5"/>
    </row>
    <row r="610" spans="1:22">
      <c r="A610" s="26" t="s">
        <v>0</v>
      </c>
      <c r="B610" s="11">
        <v>46052</v>
      </c>
      <c r="C610" s="6" t="s">
        <v>43</v>
      </c>
      <c r="D610" s="26">
        <v>355</v>
      </c>
      <c r="E610" s="35" t="s">
        <v>92</v>
      </c>
      <c r="F610" s="26" t="s">
        <v>283</v>
      </c>
      <c r="G610" s="220" t="s">
        <v>395</v>
      </c>
      <c r="H610" s="39">
        <v>646.66999999999996</v>
      </c>
      <c r="I610" s="216">
        <v>46086</v>
      </c>
      <c r="J610" s="7" t="s">
        <v>91</v>
      </c>
      <c r="K610" s="26" t="s">
        <v>381</v>
      </c>
      <c r="L610" s="6">
        <v>46052</v>
      </c>
      <c r="M610" s="5" t="str">
        <f>IF(Tabela4[[#This Row],[RECOMPRADO]]="RECEBIDO","LIQUIDADO",IF(O610="LIQUIDADO","LIQUIDADO",IF(I610&lt;$I$5,"VENCIDO","A VENCER")))</f>
        <v>LIQUIDADO</v>
      </c>
      <c r="N610" s="211" t="str">
        <f>IF(Tabela4[[#This Row],[STATUS]]="LIQUIDADO","",Tabela4[[#This Row],[VCTO]]-$I$5)</f>
        <v/>
      </c>
      <c r="O610" s="6" t="s">
        <v>86</v>
      </c>
      <c r="P610" s="6"/>
      <c r="Q610" s="5"/>
      <c r="R610" s="5"/>
      <c r="S610" s="5"/>
      <c r="T610" s="5"/>
      <c r="U610" s="5"/>
      <c r="V610" s="5"/>
    </row>
    <row r="611" spans="1:22">
      <c r="A611" s="26" t="s">
        <v>0</v>
      </c>
      <c r="B611" s="11">
        <v>46052</v>
      </c>
      <c r="C611" s="6" t="s">
        <v>43</v>
      </c>
      <c r="D611" s="26">
        <v>355</v>
      </c>
      <c r="E611" s="35" t="s">
        <v>95</v>
      </c>
      <c r="F611" s="26" t="s">
        <v>283</v>
      </c>
      <c r="G611" s="220" t="s">
        <v>395</v>
      </c>
      <c r="H611" s="39">
        <v>646.66999999999996</v>
      </c>
      <c r="I611" s="216">
        <v>46093</v>
      </c>
      <c r="J611" s="7" t="s">
        <v>91</v>
      </c>
      <c r="K611" s="26" t="s">
        <v>381</v>
      </c>
      <c r="L611" s="6">
        <v>46052</v>
      </c>
      <c r="M611" s="5" t="str">
        <f>IF(Tabela4[[#This Row],[RECOMPRADO]]="RECEBIDO","LIQUIDADO",IF(O611="LIQUIDADO","LIQUIDADO",IF(I611&lt;$I$5,"VENCIDO","A VENCER")))</f>
        <v>LIQUIDADO</v>
      </c>
      <c r="N611" s="211" t="str">
        <f>IF(Tabela4[[#This Row],[STATUS]]="LIQUIDADO","",Tabela4[[#This Row],[VCTO]]-$I$5)</f>
        <v/>
      </c>
      <c r="O611" s="6" t="s">
        <v>86</v>
      </c>
      <c r="P611" s="6"/>
      <c r="Q611" s="5"/>
      <c r="R611" s="5"/>
      <c r="S611" s="5"/>
      <c r="T611" s="5"/>
      <c r="U611" s="5"/>
      <c r="V611" s="5"/>
    </row>
    <row r="612" spans="1:22">
      <c r="A612" s="5" t="s">
        <v>0</v>
      </c>
      <c r="B612" s="6">
        <v>46052</v>
      </c>
      <c r="C612" s="11" t="s">
        <v>43</v>
      </c>
      <c r="D612" s="26">
        <v>355</v>
      </c>
      <c r="E612" s="35" t="s">
        <v>96</v>
      </c>
      <c r="F612" s="5" t="s">
        <v>283</v>
      </c>
      <c r="G612" s="225" t="s">
        <v>395</v>
      </c>
      <c r="H612" s="39">
        <v>646.66999999999996</v>
      </c>
      <c r="I612" s="216">
        <v>46100</v>
      </c>
      <c r="J612" s="7" t="s">
        <v>91</v>
      </c>
      <c r="K612" s="5" t="s">
        <v>381</v>
      </c>
      <c r="L612" s="11">
        <v>46052</v>
      </c>
      <c r="M612" s="26" t="str">
        <f ca="1">IF(Tabela4[[#This Row],[RECOMPRADO]]="RECEBIDO","LIQUIDADO",IF(O612="LIQUIDADO","LIQUIDADO",IF(I612&lt;$I$5,"VENCIDO","A VENCER")))</f>
        <v>A VENCER</v>
      </c>
      <c r="N612" s="212">
        <f ca="1">IF(Tabela4[[#This Row],[STATUS]]="LIQUIDADO","",Tabela4[[#This Row],[VCTO]]-$I$5)</f>
        <v>2</v>
      </c>
      <c r="O612" s="224"/>
      <c r="P612" s="11"/>
      <c r="Q612" s="26"/>
      <c r="R612" s="26"/>
      <c r="S612" s="26"/>
      <c r="T612" s="26"/>
      <c r="U612" s="26"/>
      <c r="V612" s="5"/>
    </row>
    <row r="613" spans="1:22">
      <c r="A613" s="26" t="s">
        <v>0</v>
      </c>
      <c r="B613" s="11">
        <v>46052</v>
      </c>
      <c r="C613" s="6" t="s">
        <v>41</v>
      </c>
      <c r="D613" s="5">
        <v>356</v>
      </c>
      <c r="E613" s="10" t="s">
        <v>92</v>
      </c>
      <c r="F613" s="26" t="s">
        <v>2</v>
      </c>
      <c r="G613" s="220">
        <v>2042020000150</v>
      </c>
      <c r="H613" s="39">
        <v>2520</v>
      </c>
      <c r="I613" s="216">
        <v>46092</v>
      </c>
      <c r="J613" s="7" t="s">
        <v>91</v>
      </c>
      <c r="K613" s="5" t="s">
        <v>381</v>
      </c>
      <c r="L613" s="6">
        <v>46052</v>
      </c>
      <c r="M613" s="5" t="str">
        <f>IF(Tabela4[[#This Row],[RECOMPRADO]]="RECEBIDO","LIQUIDADO",IF(O613="LIQUIDADO","LIQUIDADO",IF(I613&lt;$I$5,"VENCIDO","A VENCER")))</f>
        <v>LIQUIDADO</v>
      </c>
      <c r="N613" s="211" t="str">
        <f>IF(Tabela4[[#This Row],[STATUS]]="LIQUIDADO","",Tabela4[[#This Row],[VCTO]]-$I$5)</f>
        <v/>
      </c>
      <c r="O613" s="219" t="s">
        <v>86</v>
      </c>
      <c r="P613" s="6"/>
      <c r="Q613" s="5"/>
      <c r="R613" s="5"/>
      <c r="S613" s="5"/>
      <c r="T613" s="5"/>
      <c r="U613" s="5"/>
      <c r="V613" s="5"/>
    </row>
    <row r="614" spans="1:22">
      <c r="A614" s="5" t="s">
        <v>0</v>
      </c>
      <c r="B614" s="6">
        <v>46052</v>
      </c>
      <c r="C614" s="11" t="s">
        <v>41</v>
      </c>
      <c r="D614" s="26">
        <v>356</v>
      </c>
      <c r="E614" s="35" t="s">
        <v>95</v>
      </c>
      <c r="F614" s="5" t="s">
        <v>2</v>
      </c>
      <c r="G614" s="225">
        <v>2042020000150</v>
      </c>
      <c r="H614" s="39">
        <v>2520</v>
      </c>
      <c r="I614" s="216">
        <v>46107</v>
      </c>
      <c r="J614" s="36" t="s">
        <v>91</v>
      </c>
      <c r="K614" s="26" t="s">
        <v>381</v>
      </c>
      <c r="L614" s="11">
        <v>46052</v>
      </c>
      <c r="M614" s="26" t="str">
        <f ca="1">IF(Tabela4[[#This Row],[RECOMPRADO]]="RECEBIDO","LIQUIDADO",IF(O614="LIQUIDADO","LIQUIDADO",IF(I614&lt;$I$5,"VENCIDO","A VENCER")))</f>
        <v>A VENCER</v>
      </c>
      <c r="N614" s="212">
        <f ca="1">IF(Tabela4[[#This Row],[STATUS]]="LIQUIDADO","",Tabela4[[#This Row],[VCTO]]-$I$5)</f>
        <v>9</v>
      </c>
      <c r="O614" s="224"/>
      <c r="P614" s="11"/>
      <c r="Q614" s="26"/>
      <c r="R614" s="26"/>
      <c r="S614" s="26"/>
      <c r="T614" s="26"/>
      <c r="U614" s="26"/>
      <c r="V614" s="5"/>
    </row>
    <row r="615" spans="1:22">
      <c r="A615" s="5" t="s">
        <v>0</v>
      </c>
      <c r="B615" s="6">
        <v>46052</v>
      </c>
      <c r="C615" s="6" t="s">
        <v>41</v>
      </c>
      <c r="D615" s="5">
        <v>356</v>
      </c>
      <c r="E615" s="10" t="s">
        <v>96</v>
      </c>
      <c r="F615" s="5" t="s">
        <v>2</v>
      </c>
      <c r="G615" s="220">
        <v>2042020000150</v>
      </c>
      <c r="H615" s="39">
        <v>2520</v>
      </c>
      <c r="I615" s="7">
        <v>46122</v>
      </c>
      <c r="J615" s="7" t="s">
        <v>91</v>
      </c>
      <c r="K615" s="5" t="s">
        <v>381</v>
      </c>
      <c r="L615" s="6">
        <v>46052</v>
      </c>
      <c r="M615" s="5" t="str">
        <f ca="1">IF(Tabela4[[#This Row],[RECOMPRADO]]="RECEBIDO","LIQUIDADO",IF(O615="LIQUIDADO","LIQUIDADO",IF(I615&lt;$I$5,"VENCIDO","A VENCER")))</f>
        <v>A VENCER</v>
      </c>
      <c r="N615" s="211">
        <f ca="1">IF(Tabela4[[#This Row],[STATUS]]="LIQUIDADO","",Tabela4[[#This Row],[VCTO]]-$I$5)</f>
        <v>24</v>
      </c>
      <c r="O615" s="6"/>
      <c r="P615" s="6"/>
      <c r="Q615" s="5"/>
      <c r="R615" s="5"/>
      <c r="S615" s="5"/>
      <c r="T615" s="5"/>
      <c r="U615" s="5"/>
      <c r="V615" s="5"/>
    </row>
    <row r="616" spans="1:22">
      <c r="A616" s="5" t="s">
        <v>0</v>
      </c>
      <c r="B616" s="6">
        <v>46052</v>
      </c>
      <c r="C616" s="11" t="s">
        <v>43</v>
      </c>
      <c r="D616" s="26">
        <v>356</v>
      </c>
      <c r="E616" s="35" t="s">
        <v>92</v>
      </c>
      <c r="F616" s="5" t="s">
        <v>2</v>
      </c>
      <c r="G616" s="225">
        <v>2042020000150</v>
      </c>
      <c r="H616" s="39">
        <v>2520</v>
      </c>
      <c r="I616" s="7">
        <v>46092</v>
      </c>
      <c r="J616" s="36" t="s">
        <v>91</v>
      </c>
      <c r="K616" s="26" t="s">
        <v>381</v>
      </c>
      <c r="L616" s="11">
        <v>46052</v>
      </c>
      <c r="M616" s="26" t="str">
        <f>IF(Tabela4[[#This Row],[RECOMPRADO]]="RECEBIDO","LIQUIDADO",IF(O616="LIQUIDADO","LIQUIDADO",IF(I616&lt;$I$5,"VENCIDO","A VENCER")))</f>
        <v>LIQUIDADO</v>
      </c>
      <c r="N616" s="212" t="str">
        <f>IF(Tabela4[[#This Row],[STATUS]]="LIQUIDADO","",Tabela4[[#This Row],[VCTO]]-$I$5)</f>
        <v/>
      </c>
      <c r="O616" s="11" t="s">
        <v>86</v>
      </c>
      <c r="P616" s="11"/>
      <c r="Q616" s="26"/>
      <c r="R616" s="26"/>
      <c r="S616" s="26"/>
      <c r="T616" s="26"/>
      <c r="U616" s="26"/>
      <c r="V616" s="5"/>
    </row>
    <row r="617" spans="1:22">
      <c r="A617" s="5" t="s">
        <v>0</v>
      </c>
      <c r="B617" s="6">
        <v>46052</v>
      </c>
      <c r="C617" s="6" t="s">
        <v>43</v>
      </c>
      <c r="D617" s="5">
        <v>356</v>
      </c>
      <c r="E617" s="10" t="s">
        <v>95</v>
      </c>
      <c r="F617" s="5" t="s">
        <v>2</v>
      </c>
      <c r="G617" s="225">
        <v>2042020000150</v>
      </c>
      <c r="H617" s="39">
        <v>2520</v>
      </c>
      <c r="I617" s="7">
        <v>46107</v>
      </c>
      <c r="J617" s="7" t="s">
        <v>91</v>
      </c>
      <c r="K617" s="5" t="s">
        <v>381</v>
      </c>
      <c r="L617" s="6">
        <v>46052</v>
      </c>
      <c r="M617" s="5" t="str">
        <f ca="1">IF(Tabela4[[#This Row],[RECOMPRADO]]="RECEBIDO","LIQUIDADO",IF(O617="LIQUIDADO","LIQUIDADO",IF(I617&lt;$I$5,"VENCIDO","A VENCER")))</f>
        <v>A VENCER</v>
      </c>
      <c r="N617" s="211">
        <f ca="1">IF(Tabela4[[#This Row],[STATUS]]="LIQUIDADO","",Tabela4[[#This Row],[VCTO]]-$I$5)</f>
        <v>9</v>
      </c>
      <c r="O617" s="6"/>
      <c r="P617" s="6"/>
      <c r="Q617" s="5"/>
      <c r="R617" s="5"/>
      <c r="S617" s="5"/>
      <c r="T617" s="5"/>
      <c r="U617" s="5"/>
      <c r="V617" s="5"/>
    </row>
    <row r="618" spans="1:22">
      <c r="A618" s="5" t="s">
        <v>0</v>
      </c>
      <c r="B618" s="6">
        <v>46052</v>
      </c>
      <c r="C618" s="6" t="s">
        <v>43</v>
      </c>
      <c r="D618" s="5">
        <v>356</v>
      </c>
      <c r="E618" s="10" t="s">
        <v>96</v>
      </c>
      <c r="F618" s="5" t="s">
        <v>2</v>
      </c>
      <c r="G618" s="225">
        <v>2042020000150</v>
      </c>
      <c r="H618" s="39">
        <v>2520</v>
      </c>
      <c r="I618" s="7">
        <v>46122</v>
      </c>
      <c r="J618" s="7" t="s">
        <v>91</v>
      </c>
      <c r="K618" s="5" t="s">
        <v>381</v>
      </c>
      <c r="L618" s="6">
        <v>46052</v>
      </c>
      <c r="M618" s="5" t="str">
        <f ca="1">IF(Tabela4[[#This Row],[RECOMPRADO]]="RECEBIDO","LIQUIDADO",IF(O618="LIQUIDADO","LIQUIDADO",IF(I618&lt;$I$5,"VENCIDO","A VENCER")))</f>
        <v>A VENCER</v>
      </c>
      <c r="N618" s="211">
        <f ca="1">IF(Tabela4[[#This Row],[STATUS]]="LIQUIDADO","",Tabela4[[#This Row],[VCTO]]-$I$5)</f>
        <v>24</v>
      </c>
      <c r="O618" s="219"/>
      <c r="P618" s="6"/>
      <c r="Q618" s="5"/>
      <c r="R618" s="5"/>
      <c r="S618" s="5"/>
      <c r="T618" s="5"/>
      <c r="U618" s="5"/>
      <c r="V618" s="5"/>
    </row>
    <row r="619" spans="1:22">
      <c r="A619" s="5" t="s">
        <v>0</v>
      </c>
      <c r="B619" s="6">
        <v>46052</v>
      </c>
      <c r="C619" s="6" t="s">
        <v>41</v>
      </c>
      <c r="D619" s="5">
        <v>357</v>
      </c>
      <c r="E619" s="10" t="s">
        <v>92</v>
      </c>
      <c r="F619" s="5" t="s">
        <v>2</v>
      </c>
      <c r="G619" s="225">
        <v>2042020000150</v>
      </c>
      <c r="H619" s="39">
        <v>2351.67</v>
      </c>
      <c r="I619" s="7">
        <v>46092</v>
      </c>
      <c r="J619" s="221" t="s">
        <v>91</v>
      </c>
      <c r="K619" s="218" t="s">
        <v>76</v>
      </c>
      <c r="L619" s="219">
        <v>46055</v>
      </c>
      <c r="M619" s="218" t="str">
        <f>IF(Tabela4[[#This Row],[RECOMPRADO]]="RECEBIDO","LIQUIDADO",IF(O619="LIQUIDADO","LIQUIDADO",IF(I619&lt;$I$5,"VENCIDO","A VENCER")))</f>
        <v>LIQUIDADO</v>
      </c>
      <c r="N619" s="222" t="str">
        <f>IF(Tabela4[[#This Row],[STATUS]]="LIQUIDADO","",Tabela4[[#This Row],[VCTO]]-$I$5)</f>
        <v/>
      </c>
      <c r="O619" s="219" t="s">
        <v>86</v>
      </c>
      <c r="P619" s="219"/>
      <c r="Q619" s="218"/>
      <c r="R619" s="218"/>
      <c r="S619" s="218"/>
      <c r="T619" s="218"/>
      <c r="U619" s="218"/>
      <c r="V619" s="5"/>
    </row>
    <row r="620" spans="1:22">
      <c r="A620" s="5" t="s">
        <v>0</v>
      </c>
      <c r="B620" s="6">
        <v>46052</v>
      </c>
      <c r="C620" s="6" t="s">
        <v>41</v>
      </c>
      <c r="D620" s="26">
        <v>357</v>
      </c>
      <c r="E620" s="10" t="s">
        <v>95</v>
      </c>
      <c r="F620" s="5" t="s">
        <v>2</v>
      </c>
      <c r="G620" s="225">
        <v>2042020000150</v>
      </c>
      <c r="H620" s="39">
        <v>2351.67</v>
      </c>
      <c r="I620" s="7">
        <v>46107</v>
      </c>
      <c r="J620" s="221" t="s">
        <v>91</v>
      </c>
      <c r="K620" s="218" t="s">
        <v>76</v>
      </c>
      <c r="L620" s="219">
        <v>46055</v>
      </c>
      <c r="M620" s="218" t="str">
        <f ca="1">IF(Tabela4[[#This Row],[RECOMPRADO]]="RECEBIDO","LIQUIDADO",IF(O620="LIQUIDADO","LIQUIDADO",IF(I620&lt;$I$5,"VENCIDO","A VENCER")))</f>
        <v>A VENCER</v>
      </c>
      <c r="N620" s="222">
        <f ca="1">IF(Tabela4[[#This Row],[STATUS]]="LIQUIDADO","",Tabela4[[#This Row],[VCTO]]-$I$5)</f>
        <v>9</v>
      </c>
      <c r="O620" s="219"/>
      <c r="P620" s="219"/>
      <c r="Q620" s="218"/>
      <c r="R620" s="218"/>
      <c r="S620" s="218"/>
      <c r="T620" s="218"/>
      <c r="U620" s="218"/>
      <c r="V620" s="5"/>
    </row>
    <row r="621" spans="1:22">
      <c r="A621" s="5" t="s">
        <v>0</v>
      </c>
      <c r="B621" s="6">
        <v>46052</v>
      </c>
      <c r="C621" s="6" t="s">
        <v>41</v>
      </c>
      <c r="D621" s="26">
        <v>357</v>
      </c>
      <c r="E621" s="10" t="s">
        <v>96</v>
      </c>
      <c r="F621" s="5" t="s">
        <v>2</v>
      </c>
      <c r="G621" s="225">
        <v>2042020000150</v>
      </c>
      <c r="H621" s="39">
        <v>2351.66</v>
      </c>
      <c r="I621" s="7">
        <v>46122</v>
      </c>
      <c r="J621" s="221" t="s">
        <v>91</v>
      </c>
      <c r="K621" s="218" t="s">
        <v>76</v>
      </c>
      <c r="L621" s="219">
        <v>46055</v>
      </c>
      <c r="M621" s="218" t="str">
        <f ca="1">IF(Tabela4[[#This Row],[RECOMPRADO]]="RECEBIDO","LIQUIDADO",IF(O621="LIQUIDADO","LIQUIDADO",IF(I621&lt;$I$5,"VENCIDO","A VENCER")))</f>
        <v>A VENCER</v>
      </c>
      <c r="N621" s="222">
        <f ca="1">IF(Tabela4[[#This Row],[STATUS]]="LIQUIDADO","",Tabela4[[#This Row],[VCTO]]-$I$5)</f>
        <v>24</v>
      </c>
      <c r="O621" s="6"/>
      <c r="P621" s="219"/>
      <c r="Q621" s="218"/>
      <c r="R621" s="218"/>
      <c r="S621" s="218"/>
      <c r="T621" s="218"/>
      <c r="U621" s="218"/>
      <c r="V621" s="5"/>
    </row>
    <row r="622" spans="1:22">
      <c r="A622" s="218" t="s">
        <v>0</v>
      </c>
      <c r="B622" s="219">
        <v>46052</v>
      </c>
      <c r="C622" s="11" t="s">
        <v>41</v>
      </c>
      <c r="D622" s="223">
        <v>358</v>
      </c>
      <c r="E622" s="35" t="s">
        <v>92</v>
      </c>
      <c r="F622" s="5" t="s">
        <v>387</v>
      </c>
      <c r="G622" s="225" t="s">
        <v>59</v>
      </c>
      <c r="H622" s="39">
        <v>104000</v>
      </c>
      <c r="I622" s="221">
        <v>46091</v>
      </c>
      <c r="J622" s="221" t="s">
        <v>91</v>
      </c>
      <c r="K622" s="218" t="s">
        <v>76</v>
      </c>
      <c r="L622" s="224">
        <v>46055</v>
      </c>
      <c r="M622" s="223" t="str">
        <f>IF(Tabela4[[#This Row],[RECOMPRADO]]="RECEBIDO","LIQUIDADO",IF(O622="LIQUIDADO","LIQUIDADO",IF(I622&lt;$I$5,"VENCIDO","A VENCER")))</f>
        <v>LIQUIDADO</v>
      </c>
      <c r="N622" s="226" t="str">
        <f>IF(Tabela4[[#This Row],[STATUS]]="LIQUIDADO","",Tabela4[[#This Row],[VCTO]]-$I$5)</f>
        <v/>
      </c>
      <c r="O622" s="11" t="s">
        <v>86</v>
      </c>
      <c r="P622" s="224"/>
      <c r="Q622" s="223"/>
      <c r="R622" s="223"/>
      <c r="S622" s="223"/>
      <c r="T622" s="5" t="s">
        <v>604</v>
      </c>
      <c r="U622" s="5"/>
      <c r="V622" s="5" t="s">
        <v>649</v>
      </c>
    </row>
    <row r="623" spans="1:22" s="268" customFormat="1">
      <c r="A623" s="218" t="s">
        <v>0</v>
      </c>
      <c r="B623" s="219">
        <v>46052</v>
      </c>
      <c r="C623" s="6" t="s">
        <v>41</v>
      </c>
      <c r="D623" s="218">
        <v>359</v>
      </c>
      <c r="E623" s="10" t="s">
        <v>92</v>
      </c>
      <c r="F623" s="5" t="s">
        <v>389</v>
      </c>
      <c r="G623" s="220" t="s">
        <v>390</v>
      </c>
      <c r="H623" s="39">
        <v>1978</v>
      </c>
      <c r="I623" s="221">
        <v>46085</v>
      </c>
      <c r="J623" s="221" t="s">
        <v>91</v>
      </c>
      <c r="K623" s="218" t="s">
        <v>76</v>
      </c>
      <c r="L623" s="224">
        <v>46055</v>
      </c>
      <c r="M623" s="218" t="str">
        <f>IF(Tabela4[[#This Row],[RECOMPRADO]]="RECEBIDO","LIQUIDADO",IF(O623="LIQUIDADO","LIQUIDADO",IF(I623&lt;$I$5,"VENCIDO","A VENCER")))</f>
        <v>LIQUIDADO</v>
      </c>
      <c r="N623" s="222" t="str">
        <f>IF(Tabela4[[#This Row],[STATUS]]="LIQUIDADO","",Tabela4[[#This Row],[VCTO]]-$I$5)</f>
        <v/>
      </c>
      <c r="O623" s="6" t="s">
        <v>86</v>
      </c>
      <c r="P623" s="219"/>
      <c r="Q623" s="218"/>
      <c r="R623" s="218"/>
      <c r="S623" s="218"/>
      <c r="T623" s="5" t="s">
        <v>540</v>
      </c>
      <c r="U623" s="5"/>
      <c r="V623" s="5"/>
    </row>
    <row r="624" spans="1:22">
      <c r="A624" s="218" t="s">
        <v>0</v>
      </c>
      <c r="B624" s="219">
        <v>46052</v>
      </c>
      <c r="C624" s="219" t="s">
        <v>41</v>
      </c>
      <c r="D624" s="218">
        <v>359</v>
      </c>
      <c r="E624" s="10" t="s">
        <v>95</v>
      </c>
      <c r="F624" s="5" t="s">
        <v>389</v>
      </c>
      <c r="G624" s="220" t="s">
        <v>390</v>
      </c>
      <c r="H624" s="39">
        <v>1978</v>
      </c>
      <c r="I624" s="221">
        <v>46092</v>
      </c>
      <c r="J624" s="221" t="s">
        <v>91</v>
      </c>
      <c r="K624" s="218" t="s">
        <v>76</v>
      </c>
      <c r="L624" s="224">
        <v>46055</v>
      </c>
      <c r="M624" s="218" t="str">
        <f>IF(Tabela4[[#This Row],[RECOMPRADO]]="RECEBIDO","LIQUIDADO",IF(O624="LIQUIDADO","LIQUIDADO",IF(I624&lt;$I$5,"VENCIDO","A VENCER")))</f>
        <v>LIQUIDADO</v>
      </c>
      <c r="N624" s="222" t="str">
        <f>IF(Tabela4[[#This Row],[STATUS]]="LIQUIDADO","",Tabela4[[#This Row],[VCTO]]-$I$5)</f>
        <v/>
      </c>
      <c r="O624" s="219" t="s">
        <v>86</v>
      </c>
      <c r="P624" s="219"/>
      <c r="Q624" s="218"/>
      <c r="R624" s="218"/>
      <c r="S624" s="218"/>
      <c r="T624" s="5" t="s">
        <v>540</v>
      </c>
      <c r="U624" s="5"/>
      <c r="V624" s="5"/>
    </row>
    <row r="625" spans="1:22">
      <c r="A625" s="218" t="s">
        <v>0</v>
      </c>
      <c r="B625" s="219">
        <v>46052</v>
      </c>
      <c r="C625" s="219" t="s">
        <v>41</v>
      </c>
      <c r="D625" s="218">
        <v>359</v>
      </c>
      <c r="E625" s="10" t="s">
        <v>96</v>
      </c>
      <c r="F625" s="5" t="s">
        <v>389</v>
      </c>
      <c r="G625" s="220" t="s">
        <v>390</v>
      </c>
      <c r="H625" s="39">
        <v>1978</v>
      </c>
      <c r="I625" s="221">
        <v>46099</v>
      </c>
      <c r="J625" s="221" t="s">
        <v>91</v>
      </c>
      <c r="K625" s="218" t="s">
        <v>76</v>
      </c>
      <c r="L625" s="224">
        <v>46055</v>
      </c>
      <c r="M625" s="218" t="str">
        <f ca="1">IF(Tabela4[[#This Row],[RECOMPRADO]]="RECEBIDO","LIQUIDADO",IF(O625="LIQUIDADO","LIQUIDADO",IF(I625&lt;$I$5,"VENCIDO","A VENCER")))</f>
        <v>A VENCER</v>
      </c>
      <c r="N625" s="222">
        <f ca="1">IF(Tabela4[[#This Row],[STATUS]]="LIQUIDADO","",Tabela4[[#This Row],[VCTO]]-$I$5)</f>
        <v>1</v>
      </c>
      <c r="O625" s="219"/>
      <c r="P625" s="219"/>
      <c r="Q625" s="218"/>
      <c r="R625" s="218"/>
      <c r="S625" s="218"/>
      <c r="T625" s="5" t="s">
        <v>540</v>
      </c>
      <c r="U625" s="5"/>
      <c r="V625" s="5"/>
    </row>
    <row r="626" spans="1:22">
      <c r="A626" s="218" t="s">
        <v>108</v>
      </c>
      <c r="B626" s="219">
        <v>46052</v>
      </c>
      <c r="C626" s="11" t="s">
        <v>41</v>
      </c>
      <c r="D626" s="218">
        <v>708</v>
      </c>
      <c r="E626" s="35" t="s">
        <v>92</v>
      </c>
      <c r="F626" s="5" t="s">
        <v>391</v>
      </c>
      <c r="G626" s="225" t="s">
        <v>392</v>
      </c>
      <c r="H626" s="39">
        <v>52350</v>
      </c>
      <c r="I626" s="221">
        <v>46107</v>
      </c>
      <c r="J626" s="221" t="s">
        <v>91</v>
      </c>
      <c r="K626" s="218" t="s">
        <v>76</v>
      </c>
      <c r="L626" s="224">
        <v>46055</v>
      </c>
      <c r="M626" s="223" t="str">
        <f ca="1">IF(Tabela4[[#This Row],[RECOMPRADO]]="RECEBIDO","LIQUIDADO",IF(O626="LIQUIDADO","LIQUIDADO",IF(I626&lt;$I$5,"VENCIDO","A VENCER")))</f>
        <v>A VENCER</v>
      </c>
      <c r="N626" s="226">
        <f ca="1">IF(Tabela4[[#This Row],[STATUS]]="LIQUIDADO","",Tabela4[[#This Row],[VCTO]]-$I$5)</f>
        <v>9</v>
      </c>
      <c r="O626" s="224"/>
      <c r="P626" s="224"/>
      <c r="Q626" s="223"/>
      <c r="R626" s="223"/>
      <c r="S626" s="223"/>
      <c r="T626" s="26" t="s">
        <v>388</v>
      </c>
      <c r="U626" s="26"/>
      <c r="V626" s="5" t="s">
        <v>649</v>
      </c>
    </row>
    <row r="627" spans="1:22">
      <c r="A627" s="218" t="s">
        <v>108</v>
      </c>
      <c r="B627" s="219">
        <v>46052</v>
      </c>
      <c r="C627" s="6" t="s">
        <v>41</v>
      </c>
      <c r="D627" s="218">
        <v>708</v>
      </c>
      <c r="E627" s="10" t="s">
        <v>95</v>
      </c>
      <c r="F627" s="5" t="s">
        <v>391</v>
      </c>
      <c r="G627" s="225" t="s">
        <v>392</v>
      </c>
      <c r="H627" s="39">
        <v>52350</v>
      </c>
      <c r="I627" s="235">
        <v>46122</v>
      </c>
      <c r="J627" s="221" t="s">
        <v>91</v>
      </c>
      <c r="K627" s="218" t="s">
        <v>76</v>
      </c>
      <c r="L627" s="224">
        <v>46055</v>
      </c>
      <c r="M627" s="218" t="str">
        <f ca="1">IF(Tabela4[[#This Row],[RECOMPRADO]]="RECEBIDO","LIQUIDADO",IF(O627="LIQUIDADO","LIQUIDADO",IF(I627&lt;$I$5,"VENCIDO","A VENCER")))</f>
        <v>A VENCER</v>
      </c>
      <c r="N627" s="222">
        <f ca="1">IF(Tabela4[[#This Row],[STATUS]]="LIQUIDADO","",Tabela4[[#This Row],[VCTO]]-$I$5)</f>
        <v>24</v>
      </c>
      <c r="O627" s="6"/>
      <c r="P627" s="219"/>
      <c r="Q627" s="218"/>
      <c r="R627" s="218"/>
      <c r="S627" s="218"/>
      <c r="T627" s="5" t="s">
        <v>388</v>
      </c>
      <c r="U627" s="5"/>
      <c r="V627" s="5" t="s">
        <v>649</v>
      </c>
    </row>
    <row r="628" spans="1:22">
      <c r="A628" s="255" t="s">
        <v>108</v>
      </c>
      <c r="B628" s="256">
        <v>46052</v>
      </c>
      <c r="C628" s="11" t="s">
        <v>41</v>
      </c>
      <c r="D628" s="247">
        <v>710</v>
      </c>
      <c r="E628" s="35" t="s">
        <v>92</v>
      </c>
      <c r="F628" s="5" t="s">
        <v>386</v>
      </c>
      <c r="G628" s="249">
        <v>44711104000180</v>
      </c>
      <c r="H628" s="250">
        <v>9496</v>
      </c>
      <c r="I628" s="251">
        <v>46094</v>
      </c>
      <c r="J628" s="252" t="s">
        <v>91</v>
      </c>
      <c r="K628" s="247" t="s">
        <v>75</v>
      </c>
      <c r="L628" s="248">
        <v>46078</v>
      </c>
      <c r="M628" s="247" t="str">
        <f>IF(Tabela4[[#This Row],[RECOMPRADO]]="RECEBIDO","LIQUIDADO",IF(O628="LIQUIDADO","LIQUIDADO",IF(I628&lt;$I$5,"VENCIDO","A VENCER")))</f>
        <v>LIQUIDADO</v>
      </c>
      <c r="N628" s="253" t="str">
        <f>IF(Tabela4[[#This Row],[STATUS]]="LIQUIDADO","",Tabela4[[#This Row],[VCTO]]-$I$5)</f>
        <v/>
      </c>
      <c r="O628" s="247" t="s">
        <v>86</v>
      </c>
      <c r="P628" s="248"/>
      <c r="Q628" s="247"/>
      <c r="R628" s="247"/>
      <c r="S628" s="247"/>
      <c r="T628" s="247"/>
      <c r="U628" s="247"/>
      <c r="V628" s="5"/>
    </row>
    <row r="629" spans="1:22">
      <c r="A629" s="5" t="s">
        <v>0</v>
      </c>
      <c r="B629" s="6">
        <v>46052</v>
      </c>
      <c r="C629" s="6" t="s">
        <v>43</v>
      </c>
      <c r="D629" s="5">
        <v>357</v>
      </c>
      <c r="E629" s="35" t="s">
        <v>92</v>
      </c>
      <c r="F629" s="5" t="s">
        <v>2</v>
      </c>
      <c r="G629" s="225">
        <v>2042020000150</v>
      </c>
      <c r="H629" s="39">
        <v>2351.67</v>
      </c>
      <c r="I629" s="216">
        <v>46092</v>
      </c>
      <c r="J629" s="36"/>
      <c r="K629" s="26" t="s">
        <v>78</v>
      </c>
      <c r="L629" s="11"/>
      <c r="M629" s="26" t="str">
        <f>IF(Tabela4[[#This Row],[RECOMPRADO]]="RECEBIDO","LIQUIDADO",IF(O629="LIQUIDADO","LIQUIDADO",IF(I629&lt;$I$5,"VENCIDO","A VENCER")))</f>
        <v>LIQUIDADO</v>
      </c>
      <c r="N629" s="212" t="str">
        <f>IF(Tabela4[[#This Row],[STATUS]]="LIQUIDADO","",Tabela4[[#This Row],[VCTO]]-$I$5)</f>
        <v/>
      </c>
      <c r="O629" s="26" t="s">
        <v>86</v>
      </c>
      <c r="P629" s="11"/>
      <c r="Q629" s="26"/>
      <c r="R629" s="26"/>
      <c r="S629" s="26"/>
      <c r="T629" s="26" t="s">
        <v>607</v>
      </c>
      <c r="U629" s="26"/>
      <c r="V629" s="5"/>
    </row>
    <row r="630" spans="1:22">
      <c r="A630" s="5" t="s">
        <v>0</v>
      </c>
      <c r="B630" s="6">
        <v>46052</v>
      </c>
      <c r="C630" s="11" t="s">
        <v>43</v>
      </c>
      <c r="D630" s="26">
        <v>357</v>
      </c>
      <c r="E630" s="35" t="s">
        <v>95</v>
      </c>
      <c r="F630" s="5" t="s">
        <v>2</v>
      </c>
      <c r="G630" s="225">
        <v>2042020000150</v>
      </c>
      <c r="H630" s="39">
        <v>2351.67</v>
      </c>
      <c r="I630" s="216">
        <v>46107</v>
      </c>
      <c r="J630" s="36"/>
      <c r="K630" s="5" t="s">
        <v>78</v>
      </c>
      <c r="L630" s="11"/>
      <c r="M630" s="26" t="str">
        <f ca="1">IF(Tabela4[[#This Row],[RECOMPRADO]]="RECEBIDO","LIQUIDADO",IF(O630="LIQUIDADO","LIQUIDADO",IF(I630&lt;$I$5,"VENCIDO","A VENCER")))</f>
        <v>A VENCER</v>
      </c>
      <c r="N630" s="212">
        <f ca="1">IF(Tabela4[[#This Row],[STATUS]]="LIQUIDADO","",Tabela4[[#This Row],[VCTO]]-$I$5)</f>
        <v>9</v>
      </c>
      <c r="O630" s="26"/>
      <c r="P630" s="11"/>
      <c r="Q630" s="26"/>
      <c r="R630" s="26"/>
      <c r="S630" s="26"/>
      <c r="T630" s="26" t="s">
        <v>607</v>
      </c>
      <c r="U630" s="26"/>
      <c r="V630" s="5"/>
    </row>
    <row r="631" spans="1:22">
      <c r="A631" s="5" t="s">
        <v>0</v>
      </c>
      <c r="B631" s="6">
        <v>46052</v>
      </c>
      <c r="C631" s="11" t="s">
        <v>43</v>
      </c>
      <c r="D631" s="26">
        <v>357</v>
      </c>
      <c r="E631" s="35" t="s">
        <v>96</v>
      </c>
      <c r="F631" s="5" t="s">
        <v>2</v>
      </c>
      <c r="G631" s="225">
        <v>2042020000150</v>
      </c>
      <c r="H631" s="39">
        <v>2351.67</v>
      </c>
      <c r="I631" s="216">
        <v>46122</v>
      </c>
      <c r="J631" s="36"/>
      <c r="K631" s="5" t="s">
        <v>78</v>
      </c>
      <c r="L631" s="11"/>
      <c r="M631" s="26" t="str">
        <f ca="1">IF(Tabela4[[#This Row],[RECOMPRADO]]="RECEBIDO","LIQUIDADO",IF(O631="LIQUIDADO","LIQUIDADO",IF(I631&lt;$I$5,"VENCIDO","A VENCER")))</f>
        <v>A VENCER</v>
      </c>
      <c r="N631" s="212">
        <f ca="1">IF(Tabela4[[#This Row],[STATUS]]="LIQUIDADO","",Tabela4[[#This Row],[VCTO]]-$I$5)</f>
        <v>24</v>
      </c>
      <c r="O631" s="26"/>
      <c r="P631" s="11"/>
      <c r="Q631" s="26"/>
      <c r="R631" s="26"/>
      <c r="S631" s="26"/>
      <c r="T631" s="26" t="s">
        <v>607</v>
      </c>
      <c r="U631" s="26"/>
      <c r="V631" s="5"/>
    </row>
    <row r="632" spans="1:22">
      <c r="A632" s="264" t="s">
        <v>0</v>
      </c>
      <c r="B632" s="265">
        <v>46055</v>
      </c>
      <c r="C632" s="267" t="s">
        <v>41</v>
      </c>
      <c r="D632" s="284">
        <v>362</v>
      </c>
      <c r="E632" s="280" t="s">
        <v>92</v>
      </c>
      <c r="F632" s="264" t="s">
        <v>121</v>
      </c>
      <c r="G632" s="281">
        <v>20596400000119</v>
      </c>
      <c r="H632" s="266">
        <v>1556.66</v>
      </c>
      <c r="I632" s="282">
        <v>46087</v>
      </c>
      <c r="J632" s="283" t="s">
        <v>91</v>
      </c>
      <c r="K632" s="264" t="s">
        <v>73</v>
      </c>
      <c r="L632" s="11">
        <v>46051</v>
      </c>
      <c r="M632" s="284" t="str">
        <f>IF(Tabela4[[#This Row],[RECOMPRADO]]="RECEBIDO","LIQUIDADO",IF(O632="LIQUIDADO","LIQUIDADO",IF(I632&lt;$I$5,"VENCIDO","A VENCER")))</f>
        <v>LIQUIDADO</v>
      </c>
      <c r="N632" s="286" t="str">
        <f>IF(Tabela4[[#This Row],[STATUS]]="LIQUIDADO","",Tabela4[[#This Row],[VCTO]]-$I$5)</f>
        <v/>
      </c>
      <c r="O632" s="267" t="s">
        <v>86</v>
      </c>
      <c r="P632" s="267"/>
      <c r="Q632" s="284"/>
      <c r="R632" s="284"/>
      <c r="S632" s="284"/>
      <c r="T632" s="284" t="s">
        <v>562</v>
      </c>
      <c r="U632" s="284"/>
      <c r="V632" s="5"/>
    </row>
    <row r="633" spans="1:22">
      <c r="A633" s="218" t="s">
        <v>0</v>
      </c>
      <c r="B633" s="219">
        <v>46055</v>
      </c>
      <c r="C633" s="224" t="s">
        <v>41</v>
      </c>
      <c r="D633" s="223">
        <v>362</v>
      </c>
      <c r="E633" s="35" t="s">
        <v>95</v>
      </c>
      <c r="F633" s="5" t="s">
        <v>121</v>
      </c>
      <c r="G633" s="215">
        <v>20596400000119</v>
      </c>
      <c r="H633" s="39">
        <v>1556.67</v>
      </c>
      <c r="I633" s="232">
        <v>46087</v>
      </c>
      <c r="J633" s="233" t="s">
        <v>91</v>
      </c>
      <c r="K633" s="5" t="s">
        <v>73</v>
      </c>
      <c r="L633" s="11">
        <v>46051</v>
      </c>
      <c r="M633" s="223" t="str">
        <f>IF(Tabela4[[#This Row],[RECOMPRADO]]="RECEBIDO","LIQUIDADO",IF(O633="LIQUIDADO","LIQUIDADO",IF(I633&lt;$I$5,"VENCIDO","A VENCER")))</f>
        <v>LIQUIDADO</v>
      </c>
      <c r="N633" s="226" t="str">
        <f>IF(Tabela4[[#This Row],[STATUS]]="LIQUIDADO","",Tabela4[[#This Row],[VCTO]]-$I$5)</f>
        <v/>
      </c>
      <c r="O633" s="11" t="s">
        <v>86</v>
      </c>
      <c r="P633" s="224"/>
      <c r="Q633" s="223"/>
      <c r="R633" s="223"/>
      <c r="S633" s="223"/>
      <c r="T633" s="26" t="s">
        <v>562</v>
      </c>
      <c r="U633" s="26"/>
      <c r="V633" s="5"/>
    </row>
    <row r="634" spans="1:22">
      <c r="A634" s="223" t="s">
        <v>0</v>
      </c>
      <c r="B634" s="224">
        <v>46055</v>
      </c>
      <c r="C634" s="224" t="s">
        <v>41</v>
      </c>
      <c r="D634" s="223">
        <v>362</v>
      </c>
      <c r="E634" s="35" t="s">
        <v>96</v>
      </c>
      <c r="F634" s="5" t="s">
        <v>121</v>
      </c>
      <c r="G634" s="215">
        <v>20596400000119</v>
      </c>
      <c r="H634" s="39">
        <v>1556.67</v>
      </c>
      <c r="I634" s="232">
        <v>46097</v>
      </c>
      <c r="J634" s="233" t="s">
        <v>91</v>
      </c>
      <c r="K634" s="5" t="s">
        <v>73</v>
      </c>
      <c r="L634" s="11">
        <v>46080</v>
      </c>
      <c r="M634" s="223" t="str">
        <f ca="1">IF(Tabela4[[#This Row],[RECOMPRADO]]="RECEBIDO","LIQUIDADO",IF(O634="LIQUIDADO","LIQUIDADO",IF(I634&lt;$I$5,"VENCIDO","A VENCER")))</f>
        <v>VENCIDO</v>
      </c>
      <c r="N634" s="226">
        <f ca="1">IF(Tabela4[[#This Row],[STATUS]]="LIQUIDADO","",Tabela4[[#This Row],[VCTO]]-$I$5)</f>
        <v>-1</v>
      </c>
      <c r="O634" s="224"/>
      <c r="P634" s="224"/>
      <c r="Q634" s="223"/>
      <c r="R634" s="223"/>
      <c r="S634" s="223"/>
      <c r="T634" s="26" t="s">
        <v>496</v>
      </c>
      <c r="U634" s="26"/>
      <c r="V634" s="5"/>
    </row>
    <row r="635" spans="1:22">
      <c r="A635" s="26" t="s">
        <v>0</v>
      </c>
      <c r="B635" s="11">
        <v>46056</v>
      </c>
      <c r="C635" s="11" t="s">
        <v>41</v>
      </c>
      <c r="D635" s="26">
        <v>365</v>
      </c>
      <c r="E635" s="35" t="s">
        <v>92</v>
      </c>
      <c r="F635" s="26" t="s">
        <v>396</v>
      </c>
      <c r="G635" s="215">
        <v>53937474000120</v>
      </c>
      <c r="H635" s="39">
        <v>180000</v>
      </c>
      <c r="I635" s="216">
        <v>46086</v>
      </c>
      <c r="J635" s="36" t="s">
        <v>91</v>
      </c>
      <c r="K635" s="26" t="s">
        <v>73</v>
      </c>
      <c r="L635" s="11">
        <v>46056</v>
      </c>
      <c r="M635" s="26" t="str">
        <f>IF(Tabela4[[#This Row],[RECOMPRADO]]="RECEBIDO","LIQUIDADO",IF(O635="LIQUIDADO","LIQUIDADO",IF(I635&lt;$I$5,"VENCIDO","A VENCER")))</f>
        <v>LIQUIDADO</v>
      </c>
      <c r="N635" s="212" t="str">
        <f>IF(Tabela4[[#This Row],[STATUS]]="LIQUIDADO","",Tabela4[[#This Row],[VCTO]]-$I$5)</f>
        <v/>
      </c>
      <c r="O635" s="224" t="s">
        <v>86</v>
      </c>
      <c r="P635" s="11"/>
      <c r="Q635" s="26"/>
      <c r="R635" s="26"/>
      <c r="S635" s="26"/>
      <c r="T635" s="26" t="s">
        <v>402</v>
      </c>
      <c r="U635" s="26"/>
      <c r="V635" s="5" t="s">
        <v>569</v>
      </c>
    </row>
    <row r="636" spans="1:22">
      <c r="A636" s="5" t="s">
        <v>0</v>
      </c>
      <c r="B636" s="6">
        <v>46057</v>
      </c>
      <c r="C636" s="6" t="s">
        <v>41</v>
      </c>
      <c r="D636" s="5">
        <v>371</v>
      </c>
      <c r="E636" s="10" t="s">
        <v>92</v>
      </c>
      <c r="F636" s="5" t="s">
        <v>398</v>
      </c>
      <c r="G636" s="225">
        <v>8702610000149</v>
      </c>
      <c r="H636" s="38">
        <v>1355.56</v>
      </c>
      <c r="I636" s="235">
        <v>46087</v>
      </c>
      <c r="J636" s="221" t="s">
        <v>91</v>
      </c>
      <c r="K636" s="218" t="s">
        <v>381</v>
      </c>
      <c r="L636" s="219">
        <v>46064</v>
      </c>
      <c r="M636" s="218" t="str">
        <f>IF(Tabela4[[#This Row],[RECOMPRADO]]="RECEBIDO","LIQUIDADO",IF(O636="LIQUIDADO","LIQUIDADO",IF(I636&lt;$I$5,"VENCIDO","A VENCER")))</f>
        <v>LIQUIDADO</v>
      </c>
      <c r="N636" s="222" t="str">
        <f>IF(Tabela4[[#This Row],[STATUS]]="LIQUIDADO","",Tabela4[[#This Row],[VCTO]]-$I$5)</f>
        <v/>
      </c>
      <c r="O636" s="219" t="s">
        <v>86</v>
      </c>
      <c r="P636" s="219"/>
      <c r="Q636" s="218"/>
      <c r="R636" s="218"/>
      <c r="S636" s="218"/>
      <c r="T636" s="218"/>
      <c r="U636" s="218"/>
      <c r="V636" s="5"/>
    </row>
    <row r="637" spans="1:22">
      <c r="A637" s="26" t="s">
        <v>0</v>
      </c>
      <c r="B637" s="6">
        <v>46057</v>
      </c>
      <c r="C637" s="11" t="s">
        <v>41</v>
      </c>
      <c r="D637" s="26">
        <v>371</v>
      </c>
      <c r="E637" s="35" t="s">
        <v>95</v>
      </c>
      <c r="F637" s="5" t="s">
        <v>398</v>
      </c>
      <c r="G637" s="225">
        <v>8702610000149</v>
      </c>
      <c r="H637" s="38">
        <v>1355.56</v>
      </c>
      <c r="I637" s="232">
        <v>46102</v>
      </c>
      <c r="J637" s="233" t="s">
        <v>91</v>
      </c>
      <c r="K637" s="223" t="s">
        <v>381</v>
      </c>
      <c r="L637" s="224">
        <v>46064</v>
      </c>
      <c r="M637" s="223" t="str">
        <f ca="1">IF(Tabela4[[#This Row],[RECOMPRADO]]="RECEBIDO","LIQUIDADO",IF(O637="LIQUIDADO","LIQUIDADO",IF(I637&lt;$I$5,"VENCIDO","A VENCER")))</f>
        <v>A VENCER</v>
      </c>
      <c r="N637" s="226">
        <f ca="1">IF(Tabela4[[#This Row],[STATUS]]="LIQUIDADO","",Tabela4[[#This Row],[VCTO]]-$I$5)</f>
        <v>4</v>
      </c>
      <c r="O637" s="223"/>
      <c r="P637" s="224"/>
      <c r="Q637" s="223"/>
      <c r="R637" s="223"/>
      <c r="S637" s="223"/>
      <c r="T637" s="223"/>
      <c r="U637" s="223"/>
      <c r="V637" s="5"/>
    </row>
    <row r="638" spans="1:22">
      <c r="A638" s="5" t="s">
        <v>0</v>
      </c>
      <c r="B638" s="6">
        <v>46057</v>
      </c>
      <c r="C638" s="6" t="s">
        <v>41</v>
      </c>
      <c r="D638" s="5">
        <v>371</v>
      </c>
      <c r="E638" s="35" t="s">
        <v>96</v>
      </c>
      <c r="F638" s="26" t="s">
        <v>398</v>
      </c>
      <c r="G638" s="225">
        <v>8702610000149</v>
      </c>
      <c r="H638" s="38">
        <v>1355.56</v>
      </c>
      <c r="I638" s="232">
        <v>46117</v>
      </c>
      <c r="J638" s="233" t="s">
        <v>91</v>
      </c>
      <c r="K638" s="223" t="s">
        <v>381</v>
      </c>
      <c r="L638" s="224">
        <v>46064</v>
      </c>
      <c r="M638" s="223" t="str">
        <f ca="1">IF(Tabela4[[#This Row],[RECOMPRADO]]="RECEBIDO","LIQUIDADO",IF(O638="LIQUIDADO","LIQUIDADO",IF(I638&lt;$I$5,"VENCIDO","A VENCER")))</f>
        <v>A VENCER</v>
      </c>
      <c r="N638" s="226">
        <f ca="1">IF(Tabela4[[#This Row],[STATUS]]="LIQUIDADO","",Tabela4[[#This Row],[VCTO]]-$I$5)</f>
        <v>19</v>
      </c>
      <c r="O638" s="223"/>
      <c r="P638" s="224"/>
      <c r="Q638" s="223"/>
      <c r="R638" s="223"/>
      <c r="S638" s="223"/>
      <c r="T638" s="223"/>
      <c r="U638" s="223"/>
      <c r="V638" s="5"/>
    </row>
    <row r="639" spans="1:22">
      <c r="A639" s="5" t="s">
        <v>0</v>
      </c>
      <c r="B639" s="6">
        <v>46057</v>
      </c>
      <c r="C639" s="6" t="s">
        <v>43</v>
      </c>
      <c r="D639" s="5">
        <v>371</v>
      </c>
      <c r="E639" s="10" t="s">
        <v>92</v>
      </c>
      <c r="F639" s="5" t="s">
        <v>398</v>
      </c>
      <c r="G639" s="225">
        <v>8702610000149</v>
      </c>
      <c r="H639" s="38">
        <v>2903.33</v>
      </c>
      <c r="I639" s="235">
        <v>46087</v>
      </c>
      <c r="J639" s="221" t="s">
        <v>91</v>
      </c>
      <c r="K639" s="218" t="s">
        <v>381</v>
      </c>
      <c r="L639" s="219">
        <v>46064</v>
      </c>
      <c r="M639" s="218" t="str">
        <f>IF(Tabela4[[#This Row],[RECOMPRADO]]="RECEBIDO","LIQUIDADO",IF(O639="LIQUIDADO","LIQUIDADO",IF(I639&lt;$I$5,"VENCIDO","A VENCER")))</f>
        <v>LIQUIDADO</v>
      </c>
      <c r="N639" s="222" t="str">
        <f>IF(Tabela4[[#This Row],[STATUS]]="LIQUIDADO","",Tabela4[[#This Row],[VCTO]]-$I$5)</f>
        <v/>
      </c>
      <c r="O639" s="218" t="s">
        <v>86</v>
      </c>
      <c r="P639" s="219"/>
      <c r="Q639" s="218"/>
      <c r="R639" s="218"/>
      <c r="S639" s="218"/>
      <c r="T639" s="218"/>
      <c r="U639" s="218"/>
      <c r="V639" s="5"/>
    </row>
    <row r="640" spans="1:22">
      <c r="A640" s="26" t="s">
        <v>0</v>
      </c>
      <c r="B640" s="11">
        <v>46057</v>
      </c>
      <c r="C640" s="11" t="s">
        <v>43</v>
      </c>
      <c r="D640" s="26">
        <v>371</v>
      </c>
      <c r="E640" s="35" t="s">
        <v>95</v>
      </c>
      <c r="F640" s="5" t="s">
        <v>398</v>
      </c>
      <c r="G640" s="225">
        <v>8702610000149</v>
      </c>
      <c r="H640" s="38">
        <v>2903.33</v>
      </c>
      <c r="I640" s="232">
        <v>46102</v>
      </c>
      <c r="J640" s="233" t="s">
        <v>91</v>
      </c>
      <c r="K640" s="223" t="s">
        <v>381</v>
      </c>
      <c r="L640" s="224">
        <v>46064</v>
      </c>
      <c r="M640" s="223" t="str">
        <f ca="1">IF(Tabela4[[#This Row],[RECOMPRADO]]="RECEBIDO","LIQUIDADO",IF(O640="LIQUIDADO","LIQUIDADO",IF(I640&lt;$I$5,"VENCIDO","A VENCER")))</f>
        <v>A VENCER</v>
      </c>
      <c r="N640" s="226">
        <f ca="1">IF(Tabela4[[#This Row],[STATUS]]="LIQUIDADO","",Tabela4[[#This Row],[VCTO]]-$I$5)</f>
        <v>4</v>
      </c>
      <c r="O640" s="223"/>
      <c r="P640" s="224"/>
      <c r="Q640" s="223"/>
      <c r="R640" s="223"/>
      <c r="S640" s="223"/>
      <c r="T640" s="223"/>
      <c r="U640" s="223"/>
      <c r="V640" s="5"/>
    </row>
    <row r="641" spans="1:22">
      <c r="A641" s="5" t="s">
        <v>0</v>
      </c>
      <c r="B641" s="6">
        <v>46057</v>
      </c>
      <c r="C641" s="6" t="s">
        <v>43</v>
      </c>
      <c r="D641" s="5">
        <v>371</v>
      </c>
      <c r="E641" s="35" t="s">
        <v>96</v>
      </c>
      <c r="F641" s="5" t="s">
        <v>398</v>
      </c>
      <c r="G641" s="225">
        <v>8702610000149</v>
      </c>
      <c r="H641" s="39">
        <v>2903.33</v>
      </c>
      <c r="I641" s="232">
        <v>46117</v>
      </c>
      <c r="J641" s="233" t="s">
        <v>91</v>
      </c>
      <c r="K641" s="218" t="s">
        <v>381</v>
      </c>
      <c r="L641" s="224">
        <v>46064</v>
      </c>
      <c r="M641" s="223" t="str">
        <f ca="1">IF(Tabela4[[#This Row],[RECOMPRADO]]="RECEBIDO","LIQUIDADO",IF(O641="LIQUIDADO","LIQUIDADO",IF(I641&lt;$I$5,"VENCIDO","A VENCER")))</f>
        <v>A VENCER</v>
      </c>
      <c r="N641" s="226">
        <f ca="1">IF(Tabela4[[#This Row],[STATUS]]="LIQUIDADO","",Tabela4[[#This Row],[VCTO]]-$I$5)</f>
        <v>19</v>
      </c>
      <c r="O641" s="223"/>
      <c r="P641" s="224"/>
      <c r="Q641" s="223"/>
      <c r="R641" s="223"/>
      <c r="S641" s="223"/>
      <c r="T641" s="223"/>
      <c r="U641" s="223"/>
      <c r="V641" s="5"/>
    </row>
    <row r="642" spans="1:22">
      <c r="A642" s="5" t="s">
        <v>108</v>
      </c>
      <c r="B642" s="6">
        <v>46057</v>
      </c>
      <c r="C642" s="6" t="s">
        <v>41</v>
      </c>
      <c r="D642" s="5">
        <v>711</v>
      </c>
      <c r="E642" s="35" t="s">
        <v>92</v>
      </c>
      <c r="F642" s="5" t="s">
        <v>400</v>
      </c>
      <c r="G642" s="215">
        <v>68192475000160</v>
      </c>
      <c r="H642" s="39">
        <v>450000</v>
      </c>
      <c r="I642" s="216">
        <v>46104</v>
      </c>
      <c r="J642" s="36" t="s">
        <v>91</v>
      </c>
      <c r="K642" s="5" t="s">
        <v>76</v>
      </c>
      <c r="L642" s="11">
        <v>46057</v>
      </c>
      <c r="M642" s="26" t="str">
        <f ca="1">IF(Tabela4[[#This Row],[RECOMPRADO]]="RECEBIDO","LIQUIDADO",IF(O642="LIQUIDADO","LIQUIDADO",IF(I642&lt;$I$5,"VENCIDO","A VENCER")))</f>
        <v>A VENCER</v>
      </c>
      <c r="N642" s="212">
        <f ca="1">IF(Tabela4[[#This Row],[STATUS]]="LIQUIDADO","",Tabela4[[#This Row],[VCTO]]-$I$5)</f>
        <v>6</v>
      </c>
      <c r="O642" s="26"/>
      <c r="P642" s="11"/>
      <c r="Q642" s="26"/>
      <c r="R642" s="26"/>
      <c r="S642" s="26"/>
      <c r="T642" s="26" t="s">
        <v>618</v>
      </c>
      <c r="U642" s="26"/>
      <c r="V642" s="5" t="s">
        <v>650</v>
      </c>
    </row>
    <row r="643" spans="1:22">
      <c r="A643" s="26" t="s">
        <v>0</v>
      </c>
      <c r="B643" s="11">
        <v>46057</v>
      </c>
      <c r="C643" s="11" t="s">
        <v>41</v>
      </c>
      <c r="D643" s="26">
        <v>372</v>
      </c>
      <c r="E643" s="35" t="s">
        <v>92</v>
      </c>
      <c r="F643" s="26" t="s">
        <v>401</v>
      </c>
      <c r="G643" s="215">
        <v>2627166000168</v>
      </c>
      <c r="H643" s="39">
        <v>1531.66</v>
      </c>
      <c r="I643" s="216">
        <v>46057</v>
      </c>
      <c r="J643" s="36" t="s">
        <v>125</v>
      </c>
      <c r="K643" s="26" t="s">
        <v>0</v>
      </c>
      <c r="L643" s="11"/>
      <c r="M643" s="26" t="str">
        <f>IF(Tabela4[[#This Row],[RECOMPRADO]]="RECEBIDO","LIQUIDADO",IF(O643="LIQUIDADO","LIQUIDADO",IF(I643&lt;$I$5,"VENCIDO","A VENCER")))</f>
        <v>LIQUIDADO</v>
      </c>
      <c r="N643" s="212" t="str">
        <f>IF(Tabela4[[#This Row],[STATUS]]="LIQUIDADO","",Tabela4[[#This Row],[VCTO]]-$I$5)</f>
        <v/>
      </c>
      <c r="O643" s="26" t="s">
        <v>86</v>
      </c>
      <c r="P643" s="11"/>
      <c r="Q643" s="26"/>
      <c r="R643" s="26"/>
      <c r="S643" s="26"/>
      <c r="T643" s="26"/>
      <c r="U643" s="26"/>
      <c r="V643" s="5"/>
    </row>
    <row r="644" spans="1:22">
      <c r="A644" s="26" t="s">
        <v>0</v>
      </c>
      <c r="B644" s="11">
        <v>46057</v>
      </c>
      <c r="C644" s="11" t="s">
        <v>41</v>
      </c>
      <c r="D644" s="26">
        <v>373</v>
      </c>
      <c r="E644" s="35" t="s">
        <v>92</v>
      </c>
      <c r="F644" s="26" t="s">
        <v>403</v>
      </c>
      <c r="G644" s="215">
        <v>12840519000167</v>
      </c>
      <c r="H644" s="39">
        <v>698.6</v>
      </c>
      <c r="I644" s="216">
        <v>46057</v>
      </c>
      <c r="J644" s="36" t="s">
        <v>125</v>
      </c>
      <c r="K644" s="26" t="s">
        <v>0</v>
      </c>
      <c r="L644" s="11"/>
      <c r="M644" s="26" t="str">
        <f>IF(Tabela4[[#This Row],[RECOMPRADO]]="RECEBIDO","LIQUIDADO",IF(O644="LIQUIDADO","LIQUIDADO",IF(I644&lt;$I$5,"VENCIDO","A VENCER")))</f>
        <v>LIQUIDADO</v>
      </c>
      <c r="N644" s="212" t="str">
        <f>IF(Tabela4[[#This Row],[STATUS]]="LIQUIDADO","",Tabela4[[#This Row],[VCTO]]-$I$5)</f>
        <v/>
      </c>
      <c r="O644" s="26" t="s">
        <v>86</v>
      </c>
      <c r="P644" s="11"/>
      <c r="Q644" s="26"/>
      <c r="R644" s="26"/>
      <c r="S644" s="26"/>
      <c r="T644" s="5"/>
      <c r="U644" s="5"/>
      <c r="V644" s="5"/>
    </row>
    <row r="645" spans="1:22">
      <c r="A645" s="26" t="s">
        <v>0</v>
      </c>
      <c r="B645" s="11">
        <v>46057</v>
      </c>
      <c r="C645" s="11" t="s">
        <v>43</v>
      </c>
      <c r="D645" s="26">
        <v>373</v>
      </c>
      <c r="E645" s="35" t="s">
        <v>92</v>
      </c>
      <c r="F645" s="26" t="s">
        <v>403</v>
      </c>
      <c r="G645" s="215">
        <v>12840519000167</v>
      </c>
      <c r="H645" s="39">
        <v>649.5</v>
      </c>
      <c r="I645" s="216">
        <v>46057</v>
      </c>
      <c r="J645" s="36" t="s">
        <v>125</v>
      </c>
      <c r="K645" s="26" t="s">
        <v>0</v>
      </c>
      <c r="L645" s="11"/>
      <c r="M645" s="26" t="str">
        <f>IF(Tabela4[[#This Row],[RECOMPRADO]]="RECEBIDO","LIQUIDADO",IF(O645="LIQUIDADO","LIQUIDADO",IF(I645&lt;$I$5,"VENCIDO","A VENCER")))</f>
        <v>LIQUIDADO</v>
      </c>
      <c r="N645" s="212" t="str">
        <f>IF(Tabela4[[#This Row],[STATUS]]="LIQUIDADO","",Tabela4[[#This Row],[VCTO]]-$I$5)</f>
        <v/>
      </c>
      <c r="O645" s="26" t="s">
        <v>86</v>
      </c>
      <c r="P645" s="11"/>
      <c r="Q645" s="26"/>
      <c r="R645" s="26"/>
      <c r="S645" s="26"/>
      <c r="T645" s="26"/>
      <c r="U645" s="26"/>
      <c r="V645" s="5"/>
    </row>
    <row r="646" spans="1:22">
      <c r="A646" s="223" t="s">
        <v>0</v>
      </c>
      <c r="B646" s="224">
        <v>46058</v>
      </c>
      <c r="C646" s="11" t="s">
        <v>41</v>
      </c>
      <c r="D646" s="223">
        <v>374</v>
      </c>
      <c r="E646" s="35" t="s">
        <v>92</v>
      </c>
      <c r="F646" s="26" t="s">
        <v>404</v>
      </c>
      <c r="G646" s="225">
        <v>28741330000157</v>
      </c>
      <c r="H646" s="39">
        <v>7600</v>
      </c>
      <c r="I646" s="232">
        <v>46058</v>
      </c>
      <c r="J646" s="233" t="s">
        <v>125</v>
      </c>
      <c r="K646" s="223" t="s">
        <v>0</v>
      </c>
      <c r="L646" s="224"/>
      <c r="M646" s="223" t="str">
        <f>IF(Tabela4[[#This Row],[RECOMPRADO]]="RECEBIDO","LIQUIDADO",IF(O646="LIQUIDADO","LIQUIDADO",IF(I646&lt;$I$5,"VENCIDO","A VENCER")))</f>
        <v>LIQUIDADO</v>
      </c>
      <c r="N646" s="226" t="str">
        <f>IF(Tabela4[[#This Row],[STATUS]]="LIQUIDADO","",Tabela4[[#This Row],[VCTO]]-$I$5)</f>
        <v/>
      </c>
      <c r="O646" s="223" t="s">
        <v>86</v>
      </c>
      <c r="P646" s="224"/>
      <c r="Q646" s="223"/>
      <c r="R646" s="223"/>
      <c r="S646" s="223"/>
      <c r="T646" s="223"/>
      <c r="U646" s="223"/>
      <c r="V646" s="5"/>
    </row>
    <row r="647" spans="1:22">
      <c r="A647" s="223" t="s">
        <v>0</v>
      </c>
      <c r="B647" s="224">
        <v>46058</v>
      </c>
      <c r="C647" s="11" t="s">
        <v>41</v>
      </c>
      <c r="D647" s="223">
        <v>375</v>
      </c>
      <c r="E647" s="35" t="s">
        <v>92</v>
      </c>
      <c r="F647" s="26" t="s">
        <v>405</v>
      </c>
      <c r="G647" s="225">
        <v>57949120000157</v>
      </c>
      <c r="H647" s="39">
        <v>1300</v>
      </c>
      <c r="I647" s="232">
        <v>46087</v>
      </c>
      <c r="J647" s="233" t="s">
        <v>91</v>
      </c>
      <c r="K647" s="223" t="s">
        <v>381</v>
      </c>
      <c r="L647" s="224">
        <v>46064</v>
      </c>
      <c r="M647" s="223" t="str">
        <f ca="1">IF(Tabela4[[#This Row],[RECOMPRADO]]="RECEBIDO","LIQUIDADO",IF(O647="LIQUIDADO","LIQUIDADO",IF(I647&lt;$I$5,"VENCIDO","A VENCER")))</f>
        <v>VENCIDO</v>
      </c>
      <c r="N647" s="226">
        <f ca="1">IF(Tabela4[[#This Row],[STATUS]]="LIQUIDADO","",Tabela4[[#This Row],[VCTO]]-$I$5)</f>
        <v>-11</v>
      </c>
      <c r="O647" s="223"/>
      <c r="P647" s="224"/>
      <c r="Q647" s="223"/>
      <c r="R647" s="223"/>
      <c r="S647" s="223"/>
      <c r="T647" s="26" t="s">
        <v>630</v>
      </c>
      <c r="U647" s="26"/>
      <c r="V647" s="5"/>
    </row>
    <row r="648" spans="1:22">
      <c r="A648" s="223" t="s">
        <v>0</v>
      </c>
      <c r="B648" s="224">
        <v>46058</v>
      </c>
      <c r="C648" s="11" t="s">
        <v>41</v>
      </c>
      <c r="D648" s="223">
        <v>375</v>
      </c>
      <c r="E648" s="35" t="s">
        <v>95</v>
      </c>
      <c r="F648" s="26" t="s">
        <v>405</v>
      </c>
      <c r="G648" s="225">
        <v>57949120000157</v>
      </c>
      <c r="H648" s="39">
        <v>1300</v>
      </c>
      <c r="I648" s="232">
        <v>46094</v>
      </c>
      <c r="J648" s="233" t="s">
        <v>91</v>
      </c>
      <c r="K648" s="223" t="s">
        <v>381</v>
      </c>
      <c r="L648" s="224">
        <v>46064</v>
      </c>
      <c r="M648" s="223" t="str">
        <f ca="1">IF(Tabela4[[#This Row],[RECOMPRADO]]="RECEBIDO","LIQUIDADO",IF(O648="LIQUIDADO","LIQUIDADO",IF(I648&lt;$I$5,"VENCIDO","A VENCER")))</f>
        <v>VENCIDO</v>
      </c>
      <c r="N648" s="226">
        <f ca="1">IF(Tabela4[[#This Row],[STATUS]]="LIQUIDADO","",Tabela4[[#This Row],[VCTO]]-$I$5)</f>
        <v>-4</v>
      </c>
      <c r="O648" s="223"/>
      <c r="P648" s="224"/>
      <c r="Q648" s="223"/>
      <c r="R648" s="223"/>
      <c r="S648" s="223"/>
      <c r="T648" s="26" t="s">
        <v>630</v>
      </c>
      <c r="U648" s="26"/>
      <c r="V648" s="5"/>
    </row>
    <row r="649" spans="1:22">
      <c r="A649" s="223" t="s">
        <v>0</v>
      </c>
      <c r="B649" s="224">
        <v>46058</v>
      </c>
      <c r="C649" s="11" t="s">
        <v>41</v>
      </c>
      <c r="D649" s="223">
        <v>375</v>
      </c>
      <c r="E649" s="35" t="s">
        <v>96</v>
      </c>
      <c r="F649" s="313" t="s">
        <v>405</v>
      </c>
      <c r="G649" s="225">
        <v>57949120000157</v>
      </c>
      <c r="H649" s="39">
        <v>1300</v>
      </c>
      <c r="I649" s="232">
        <v>46101</v>
      </c>
      <c r="J649" s="233" t="s">
        <v>91</v>
      </c>
      <c r="K649" s="223" t="s">
        <v>381</v>
      </c>
      <c r="L649" s="224">
        <v>46064</v>
      </c>
      <c r="M649" s="223" t="str">
        <f ca="1">IF(Tabela4[[#This Row],[RECOMPRADO]]="RECEBIDO","LIQUIDADO",IF(O649="LIQUIDADO","LIQUIDADO",IF(I649&lt;$I$5,"VENCIDO","A VENCER")))</f>
        <v>A VENCER</v>
      </c>
      <c r="N649" s="226">
        <f ca="1">IF(Tabela4[[#This Row],[STATUS]]="LIQUIDADO","",Tabela4[[#This Row],[VCTO]]-$I$5)</f>
        <v>3</v>
      </c>
      <c r="O649" s="223"/>
      <c r="P649" s="224"/>
      <c r="Q649" s="223"/>
      <c r="R649" s="223"/>
      <c r="S649" s="223"/>
      <c r="T649" s="223"/>
      <c r="U649" s="223"/>
      <c r="V649" s="5"/>
    </row>
    <row r="650" spans="1:22">
      <c r="A650" s="223" t="s">
        <v>0</v>
      </c>
      <c r="B650" s="224">
        <v>46058</v>
      </c>
      <c r="C650" s="11" t="s">
        <v>41</v>
      </c>
      <c r="D650" s="223">
        <v>375</v>
      </c>
      <c r="E650" s="35" t="s">
        <v>97</v>
      </c>
      <c r="F650" s="26" t="s">
        <v>405</v>
      </c>
      <c r="G650" s="225">
        <v>57949120000157</v>
      </c>
      <c r="H650" s="39">
        <v>1300</v>
      </c>
      <c r="I650" s="232">
        <v>46108</v>
      </c>
      <c r="J650" s="233" t="s">
        <v>91</v>
      </c>
      <c r="K650" s="223" t="s">
        <v>381</v>
      </c>
      <c r="L650" s="224">
        <v>46064</v>
      </c>
      <c r="M650" s="223" t="str">
        <f ca="1">IF(Tabela4[[#This Row],[RECOMPRADO]]="RECEBIDO","LIQUIDADO",IF(O650="LIQUIDADO","LIQUIDADO",IF(I650&lt;$I$5,"VENCIDO","A VENCER")))</f>
        <v>A VENCER</v>
      </c>
      <c r="N650" s="226">
        <f ca="1">IF(Tabela4[[#This Row],[STATUS]]="LIQUIDADO","",Tabela4[[#This Row],[VCTO]]-$I$5)</f>
        <v>10</v>
      </c>
      <c r="O650" s="223"/>
      <c r="P650" s="224"/>
      <c r="Q650" s="223"/>
      <c r="R650" s="223"/>
      <c r="S650" s="223"/>
      <c r="T650" s="223"/>
      <c r="U650" s="223"/>
      <c r="V650" s="5"/>
    </row>
    <row r="651" spans="1:22">
      <c r="A651" s="223" t="s">
        <v>0</v>
      </c>
      <c r="B651" s="224">
        <v>46059</v>
      </c>
      <c r="C651" s="11" t="s">
        <v>43</v>
      </c>
      <c r="D651" s="223">
        <v>376</v>
      </c>
      <c r="E651" s="35" t="s">
        <v>92</v>
      </c>
      <c r="F651" s="26" t="s">
        <v>406</v>
      </c>
      <c r="G651" s="225">
        <v>59836306000125</v>
      </c>
      <c r="H651" s="39">
        <v>2500</v>
      </c>
      <c r="I651" s="232">
        <v>46059</v>
      </c>
      <c r="J651" s="233" t="s">
        <v>125</v>
      </c>
      <c r="K651" s="223" t="s">
        <v>0</v>
      </c>
      <c r="L651" s="224"/>
      <c r="M651" s="223" t="str">
        <f>IF(Tabela4[[#This Row],[RECOMPRADO]]="RECEBIDO","LIQUIDADO",IF(O651="LIQUIDADO","LIQUIDADO",IF(I651&lt;$I$5,"VENCIDO","A VENCER")))</f>
        <v>LIQUIDADO</v>
      </c>
      <c r="N651" s="226" t="str">
        <f>IF(Tabela4[[#This Row],[STATUS]]="LIQUIDADO","",Tabela4[[#This Row],[VCTO]]-$I$5)</f>
        <v/>
      </c>
      <c r="O651" s="223" t="s">
        <v>86</v>
      </c>
      <c r="P651" s="224"/>
      <c r="Q651" s="223"/>
      <c r="R651" s="223"/>
      <c r="S651" s="223"/>
      <c r="T651" s="223"/>
      <c r="U651" s="223"/>
      <c r="V651" s="5"/>
    </row>
    <row r="652" spans="1:22">
      <c r="A652" s="223" t="s">
        <v>0</v>
      </c>
      <c r="B652" s="224">
        <v>46059</v>
      </c>
      <c r="C652" s="11" t="s">
        <v>41</v>
      </c>
      <c r="D652" s="223">
        <v>376</v>
      </c>
      <c r="E652" s="224" t="s">
        <v>92</v>
      </c>
      <c r="F652" s="11" t="s">
        <v>406</v>
      </c>
      <c r="G652" s="225">
        <v>59836306000125</v>
      </c>
      <c r="H652" s="39">
        <v>1708</v>
      </c>
      <c r="I652" s="232">
        <v>46069</v>
      </c>
      <c r="J652" s="233" t="s">
        <v>90</v>
      </c>
      <c r="K652" s="223" t="s">
        <v>0</v>
      </c>
      <c r="L652" s="224"/>
      <c r="M652" s="223" t="str">
        <f>IF(Tabela4[[#This Row],[RECOMPRADO]]="RECEBIDO","LIQUIDADO",IF(O652="LIQUIDADO","LIQUIDADO",IF(I652&lt;$I$5,"VENCIDO","A VENCER")))</f>
        <v>LIQUIDADO</v>
      </c>
      <c r="N652" s="226" t="str">
        <f>IF(Tabela4[[#This Row],[STATUS]]="LIQUIDADO","",Tabela4[[#This Row],[VCTO]]-$I$5)</f>
        <v/>
      </c>
      <c r="O652" s="223" t="s">
        <v>86</v>
      </c>
      <c r="P652" s="224"/>
      <c r="Q652" s="223"/>
      <c r="R652" s="223"/>
      <c r="S652" s="223"/>
      <c r="T652" s="26" t="s">
        <v>484</v>
      </c>
      <c r="U652" s="26"/>
      <c r="V652" s="5"/>
    </row>
    <row r="653" spans="1:22">
      <c r="A653" s="218" t="s">
        <v>0</v>
      </c>
      <c r="B653" s="219">
        <v>46059</v>
      </c>
      <c r="C653" s="6" t="s">
        <v>41</v>
      </c>
      <c r="D653" s="218">
        <v>376</v>
      </c>
      <c r="E653" s="219" t="s">
        <v>95</v>
      </c>
      <c r="F653" s="6" t="s">
        <v>406</v>
      </c>
      <c r="G653" s="225">
        <v>59836306000125</v>
      </c>
      <c r="H653" s="39">
        <v>1708</v>
      </c>
      <c r="I653" s="232">
        <v>46104</v>
      </c>
      <c r="J653" s="233" t="s">
        <v>90</v>
      </c>
      <c r="K653" s="223" t="s">
        <v>0</v>
      </c>
      <c r="L653" s="219"/>
      <c r="M653" s="218" t="str">
        <f ca="1">IF(Tabela4[[#This Row],[RECOMPRADO]]="RECEBIDO","LIQUIDADO",IF(O653="LIQUIDADO","LIQUIDADO",IF(I653&lt;$I$5,"VENCIDO","A VENCER")))</f>
        <v>A VENCER</v>
      </c>
      <c r="N653" s="222">
        <f ca="1">IF(Tabela4[[#This Row],[STATUS]]="LIQUIDADO","",Tabela4[[#This Row],[VCTO]]-$I$5)</f>
        <v>6</v>
      </c>
      <c r="O653" s="218"/>
      <c r="P653" s="219"/>
      <c r="Q653" s="218"/>
      <c r="R653" s="218"/>
      <c r="S653" s="218"/>
      <c r="T653" s="26" t="s">
        <v>526</v>
      </c>
      <c r="U653" s="26"/>
      <c r="V653" s="5"/>
    </row>
    <row r="654" spans="1:22">
      <c r="A654" s="218" t="s">
        <v>108</v>
      </c>
      <c r="B654" s="219">
        <v>46062</v>
      </c>
      <c r="C654" s="6" t="s">
        <v>41</v>
      </c>
      <c r="D654" s="218">
        <v>713</v>
      </c>
      <c r="E654" s="10" t="s">
        <v>92</v>
      </c>
      <c r="F654" s="5" t="s">
        <v>400</v>
      </c>
      <c r="G654" s="225">
        <v>68192475000160</v>
      </c>
      <c r="H654" s="241">
        <v>196219.29</v>
      </c>
      <c r="I654" s="232">
        <v>46092</v>
      </c>
      <c r="J654" s="233" t="s">
        <v>91</v>
      </c>
      <c r="K654" s="223" t="s">
        <v>76</v>
      </c>
      <c r="L654" s="224">
        <v>46055</v>
      </c>
      <c r="M654" s="218" t="str">
        <f>IF(Tabela4[[#This Row],[RECOMPRADO]]="RECEBIDO","LIQUIDADO",IF(O654="LIQUIDADO","LIQUIDADO",IF(I654&lt;$I$5,"VENCIDO","A VENCER")))</f>
        <v>LIQUIDADO</v>
      </c>
      <c r="N654" s="222" t="str">
        <f>IF(Tabela4[[#This Row],[STATUS]]="LIQUIDADO","",Tabela4[[#This Row],[VCTO]]-$I$5)</f>
        <v/>
      </c>
      <c r="O654" s="218" t="s">
        <v>86</v>
      </c>
      <c r="P654" s="219"/>
      <c r="Q654" s="218"/>
      <c r="R654" s="218"/>
      <c r="S654" s="218"/>
      <c r="T654" s="26" t="s">
        <v>472</v>
      </c>
      <c r="U654" s="26"/>
      <c r="V654" s="5" t="s">
        <v>569</v>
      </c>
    </row>
    <row r="655" spans="1:22">
      <c r="A655" s="255" t="s">
        <v>0</v>
      </c>
      <c r="B655" s="256">
        <v>46066</v>
      </c>
      <c r="C655" s="6" t="s">
        <v>41</v>
      </c>
      <c r="D655" s="255">
        <v>382</v>
      </c>
      <c r="E655" s="10" t="s">
        <v>92</v>
      </c>
      <c r="F655" s="5" t="s">
        <v>480</v>
      </c>
      <c r="G655" s="249">
        <v>20873972000106</v>
      </c>
      <c r="H655" s="250">
        <v>26137.19</v>
      </c>
      <c r="I655" s="251">
        <v>46094</v>
      </c>
      <c r="J655" s="252" t="s">
        <v>91</v>
      </c>
      <c r="K655" s="247" t="s">
        <v>80</v>
      </c>
      <c r="L655" s="256">
        <v>46066</v>
      </c>
      <c r="M655" s="255" t="str">
        <f>IF(Tabela4[[#This Row],[RECOMPRADO]]="RECEBIDO","LIQUIDADO",IF(O655="LIQUIDADO","LIQUIDADO",IF(I655&lt;$I$5,"VENCIDO","A VENCER")))</f>
        <v>LIQUIDADO</v>
      </c>
      <c r="N655" s="261" t="str">
        <f>IF(Tabela4[[#This Row],[STATUS]]="LIQUIDADO","",Tabela4[[#This Row],[VCTO]]-$I$5)</f>
        <v/>
      </c>
      <c r="O655" s="255" t="s">
        <v>86</v>
      </c>
      <c r="P655" s="256"/>
      <c r="Q655" s="255"/>
      <c r="R655" s="255"/>
      <c r="S655" s="255"/>
      <c r="T655" s="247"/>
      <c r="U655" s="247"/>
      <c r="V655" s="5"/>
    </row>
    <row r="656" spans="1:22">
      <c r="A656" s="247" t="s">
        <v>0</v>
      </c>
      <c r="B656" s="248">
        <v>46066</v>
      </c>
      <c r="C656" s="11" t="s">
        <v>41</v>
      </c>
      <c r="D656" s="247">
        <v>382</v>
      </c>
      <c r="E656" s="35" t="s">
        <v>95</v>
      </c>
      <c r="F656" s="26" t="s">
        <v>480</v>
      </c>
      <c r="G656" s="249">
        <v>20873972000106</v>
      </c>
      <c r="H656" s="250">
        <v>18722.919999999998</v>
      </c>
      <c r="I656" s="251">
        <v>46101</v>
      </c>
      <c r="J656" s="252" t="s">
        <v>91</v>
      </c>
      <c r="K656" s="247" t="s">
        <v>80</v>
      </c>
      <c r="L656" s="248">
        <v>46066</v>
      </c>
      <c r="M656" s="247" t="str">
        <f ca="1">IF(Tabela4[[#This Row],[RECOMPRADO]]="RECEBIDO","LIQUIDADO",IF(O656="LIQUIDADO","LIQUIDADO",IF(I656&lt;$I$5,"VENCIDO","A VENCER")))</f>
        <v>A VENCER</v>
      </c>
      <c r="N656" s="253">
        <f ca="1">IF(Tabela4[[#This Row],[STATUS]]="LIQUIDADO","",Tabela4[[#This Row],[VCTO]]-$I$5)</f>
        <v>3</v>
      </c>
      <c r="O656" s="247"/>
      <c r="P656" s="248"/>
      <c r="Q656" s="247"/>
      <c r="R656" s="247"/>
      <c r="S656" s="247"/>
      <c r="T656" s="247"/>
      <c r="U656" s="247"/>
      <c r="V656" s="5"/>
    </row>
    <row r="657" spans="1:22">
      <c r="A657" s="247" t="s">
        <v>0</v>
      </c>
      <c r="B657" s="248">
        <v>46066</v>
      </c>
      <c r="C657" s="11" t="s">
        <v>41</v>
      </c>
      <c r="D657" s="247">
        <v>382</v>
      </c>
      <c r="E657" s="35" t="s">
        <v>96</v>
      </c>
      <c r="F657" s="26" t="s">
        <v>480</v>
      </c>
      <c r="G657" s="249">
        <v>20873972000106</v>
      </c>
      <c r="H657" s="250">
        <v>18722.919999999998</v>
      </c>
      <c r="I657" s="251">
        <v>46108</v>
      </c>
      <c r="J657" s="252" t="s">
        <v>91</v>
      </c>
      <c r="K657" s="247" t="s">
        <v>80</v>
      </c>
      <c r="L657" s="248">
        <v>46066</v>
      </c>
      <c r="M657" s="247" t="str">
        <f ca="1">IF(Tabela4[[#This Row],[RECOMPRADO]]="RECEBIDO","LIQUIDADO",IF(O657="LIQUIDADO","LIQUIDADO",IF(I657&lt;$I$5,"VENCIDO","A VENCER")))</f>
        <v>A VENCER</v>
      </c>
      <c r="N657" s="253">
        <f ca="1">IF(Tabela4[[#This Row],[STATUS]]="LIQUIDADO","",Tabela4[[#This Row],[VCTO]]-$I$5)</f>
        <v>10</v>
      </c>
      <c r="O657" s="247"/>
      <c r="P657" s="248"/>
      <c r="Q657" s="247"/>
      <c r="R657" s="247"/>
      <c r="S657" s="247"/>
      <c r="T657" s="247"/>
      <c r="U657" s="247"/>
      <c r="V657" s="5"/>
    </row>
    <row r="658" spans="1:22">
      <c r="A658" s="255" t="s">
        <v>0</v>
      </c>
      <c r="B658" s="6">
        <v>46071</v>
      </c>
      <c r="C658" s="6" t="s">
        <v>41</v>
      </c>
      <c r="D658" s="255">
        <v>383</v>
      </c>
      <c r="E658" s="10" t="s">
        <v>92</v>
      </c>
      <c r="F658" s="5" t="s">
        <v>278</v>
      </c>
      <c r="G658" s="249">
        <v>22258422000102</v>
      </c>
      <c r="H658" s="250">
        <v>2603.0300000000002</v>
      </c>
      <c r="I658" s="259">
        <v>46071</v>
      </c>
      <c r="J658" s="260" t="s">
        <v>125</v>
      </c>
      <c r="K658" s="255" t="s">
        <v>0</v>
      </c>
      <c r="L658" s="256"/>
      <c r="M658" s="255" t="str">
        <f>IF(Tabela4[[#This Row],[RECOMPRADO]]="RECEBIDO","LIQUIDADO",IF(O658="LIQUIDADO","LIQUIDADO",IF(I658&lt;$I$5,"VENCIDO","A VENCER")))</f>
        <v>LIQUIDADO</v>
      </c>
      <c r="N658" s="261" t="str">
        <f>IF(Tabela4[[#This Row],[STATUS]]="LIQUIDADO","",Tabela4[[#This Row],[VCTO]]-$I$5)</f>
        <v/>
      </c>
      <c r="O658" s="255" t="s">
        <v>86</v>
      </c>
      <c r="P658" s="256"/>
      <c r="Q658" s="255"/>
      <c r="R658" s="255"/>
      <c r="S658" s="255"/>
      <c r="T658" s="255"/>
      <c r="U658" s="255"/>
      <c r="V658" s="5"/>
    </row>
    <row r="659" spans="1:22">
      <c r="A659" s="247" t="s">
        <v>0</v>
      </c>
      <c r="B659" s="248">
        <v>46071</v>
      </c>
      <c r="C659" s="11" t="s">
        <v>43</v>
      </c>
      <c r="D659" s="247">
        <v>383</v>
      </c>
      <c r="E659" s="35" t="s">
        <v>92</v>
      </c>
      <c r="F659" s="5" t="s">
        <v>278</v>
      </c>
      <c r="G659" s="249">
        <v>22258422000102</v>
      </c>
      <c r="H659" s="250">
        <v>2299.5</v>
      </c>
      <c r="I659" s="259">
        <v>46071</v>
      </c>
      <c r="J659" s="260" t="s">
        <v>125</v>
      </c>
      <c r="K659" s="247" t="s">
        <v>0</v>
      </c>
      <c r="L659" s="248"/>
      <c r="M659" s="247" t="str">
        <f>IF(Tabela4[[#This Row],[RECOMPRADO]]="RECEBIDO","LIQUIDADO",IF(O659="LIQUIDADO","LIQUIDADO",IF(I659&lt;$I$5,"VENCIDO","A VENCER")))</f>
        <v>LIQUIDADO</v>
      </c>
      <c r="N659" s="253" t="str">
        <f>IF(Tabela4[[#This Row],[STATUS]]="LIQUIDADO","",Tabela4[[#This Row],[VCTO]]-$I$5)</f>
        <v/>
      </c>
      <c r="O659" s="247" t="s">
        <v>86</v>
      </c>
      <c r="P659" s="248"/>
      <c r="Q659" s="247"/>
      <c r="R659" s="247"/>
      <c r="S659" s="247"/>
      <c r="T659" s="247"/>
      <c r="U659" s="247"/>
      <c r="V659" s="5"/>
    </row>
    <row r="660" spans="1:22">
      <c r="A660" s="26" t="s">
        <v>0</v>
      </c>
      <c r="B660" s="248">
        <v>46072</v>
      </c>
      <c r="C660" s="11" t="s">
        <v>41</v>
      </c>
      <c r="D660" s="247">
        <v>388</v>
      </c>
      <c r="E660" s="35" t="s">
        <v>92</v>
      </c>
      <c r="F660" s="262" t="s">
        <v>21</v>
      </c>
      <c r="G660" s="249">
        <v>23899714000189</v>
      </c>
      <c r="H660" s="250">
        <v>5196</v>
      </c>
      <c r="I660" s="251">
        <v>46103</v>
      </c>
      <c r="J660" s="252" t="s">
        <v>91</v>
      </c>
      <c r="K660" s="247" t="s">
        <v>77</v>
      </c>
      <c r="L660" s="6">
        <v>46073</v>
      </c>
      <c r="M660" s="247" t="str">
        <f ca="1">IF(Tabela4[[#This Row],[RECOMPRADO]]="RECEBIDO","LIQUIDADO",IF(O660="LIQUIDADO","LIQUIDADO",IF(I660&lt;$I$5,"VENCIDO","A VENCER")))</f>
        <v>A VENCER</v>
      </c>
      <c r="N660" s="253">
        <f ca="1">IF(Tabela4[[#This Row],[STATUS]]="LIQUIDADO","",Tabela4[[#This Row],[VCTO]]-$I$5)</f>
        <v>5</v>
      </c>
      <c r="O660" s="247"/>
      <c r="P660" s="248"/>
      <c r="Q660" s="247"/>
      <c r="R660" s="247"/>
      <c r="S660" s="247"/>
      <c r="T660" s="26" t="s">
        <v>205</v>
      </c>
      <c r="U660" s="26"/>
      <c r="V660" s="5"/>
    </row>
    <row r="661" spans="1:22">
      <c r="A661" s="247" t="s">
        <v>0</v>
      </c>
      <c r="B661" s="248">
        <v>46072</v>
      </c>
      <c r="C661" s="11" t="s">
        <v>41</v>
      </c>
      <c r="D661" s="247">
        <v>389</v>
      </c>
      <c r="E661" s="35" t="s">
        <v>92</v>
      </c>
      <c r="F661" s="26" t="s">
        <v>497</v>
      </c>
      <c r="G661" s="249">
        <v>14638183000180</v>
      </c>
      <c r="H661" s="250">
        <v>1356.67</v>
      </c>
      <c r="I661" s="251">
        <v>46100</v>
      </c>
      <c r="J661" s="252" t="s">
        <v>91</v>
      </c>
      <c r="K661" s="247" t="s">
        <v>77</v>
      </c>
      <c r="L661" s="6">
        <v>46073</v>
      </c>
      <c r="M661" s="247" t="str">
        <f ca="1">IF(Tabela4[[#This Row],[RECOMPRADO]]="RECEBIDO","LIQUIDADO",IF(O661="LIQUIDADO","LIQUIDADO",IF(I661&lt;$I$5,"VENCIDO","A VENCER")))</f>
        <v>A VENCER</v>
      </c>
      <c r="N661" s="253">
        <f ca="1">IF(Tabela4[[#This Row],[STATUS]]="LIQUIDADO","",Tabela4[[#This Row],[VCTO]]-$I$5)</f>
        <v>2</v>
      </c>
      <c r="O661" s="247"/>
      <c r="P661" s="248"/>
      <c r="Q661" s="247"/>
      <c r="R661" s="247"/>
      <c r="S661" s="247"/>
      <c r="T661" s="26" t="s">
        <v>205</v>
      </c>
      <c r="U661" s="26"/>
      <c r="V661" s="5"/>
    </row>
    <row r="662" spans="1:22">
      <c r="A662" s="247" t="s">
        <v>0</v>
      </c>
      <c r="B662" s="248">
        <v>46072</v>
      </c>
      <c r="C662" s="11" t="s">
        <v>41</v>
      </c>
      <c r="D662" s="247">
        <v>389</v>
      </c>
      <c r="E662" s="35" t="s">
        <v>95</v>
      </c>
      <c r="F662" s="26" t="s">
        <v>497</v>
      </c>
      <c r="G662" s="249">
        <v>14638183000180</v>
      </c>
      <c r="H662" s="250">
        <v>1356.67</v>
      </c>
      <c r="I662" s="251">
        <v>46107</v>
      </c>
      <c r="J662" s="252" t="s">
        <v>91</v>
      </c>
      <c r="K662" s="247" t="s">
        <v>77</v>
      </c>
      <c r="L662" s="6">
        <v>46073</v>
      </c>
      <c r="M662" s="247" t="str">
        <f ca="1">IF(Tabela4[[#This Row],[RECOMPRADO]]="RECEBIDO","LIQUIDADO",IF(O662="LIQUIDADO","LIQUIDADO",IF(I662&lt;$I$5,"VENCIDO","A VENCER")))</f>
        <v>A VENCER</v>
      </c>
      <c r="N662" s="253">
        <f ca="1">IF(Tabela4[[#This Row],[STATUS]]="LIQUIDADO","",Tabela4[[#This Row],[VCTO]]-$I$5)</f>
        <v>9</v>
      </c>
      <c r="O662" s="247"/>
      <c r="P662" s="248"/>
      <c r="Q662" s="247"/>
      <c r="R662" s="247"/>
      <c r="S662" s="247"/>
      <c r="T662" s="26" t="s">
        <v>205</v>
      </c>
      <c r="U662" s="26"/>
      <c r="V662" s="5"/>
    </row>
    <row r="663" spans="1:22">
      <c r="A663" s="247" t="s">
        <v>0</v>
      </c>
      <c r="B663" s="248">
        <v>46072</v>
      </c>
      <c r="C663" s="11" t="s">
        <v>41</v>
      </c>
      <c r="D663" s="247">
        <v>389</v>
      </c>
      <c r="E663" s="35" t="s">
        <v>96</v>
      </c>
      <c r="F663" s="26" t="s">
        <v>497</v>
      </c>
      <c r="G663" s="249">
        <v>14638183000180</v>
      </c>
      <c r="H663" s="250">
        <v>1356.67</v>
      </c>
      <c r="I663" s="251">
        <v>46114</v>
      </c>
      <c r="J663" s="252" t="s">
        <v>91</v>
      </c>
      <c r="K663" s="247" t="s">
        <v>77</v>
      </c>
      <c r="L663" s="6">
        <v>46073</v>
      </c>
      <c r="M663" s="247" t="str">
        <f ca="1">IF(Tabela4[[#This Row],[RECOMPRADO]]="RECEBIDO","LIQUIDADO",IF(O663="LIQUIDADO","LIQUIDADO",IF(I663&lt;$I$5,"VENCIDO","A VENCER")))</f>
        <v>A VENCER</v>
      </c>
      <c r="N663" s="253">
        <f ca="1">IF(Tabela4[[#This Row],[STATUS]]="LIQUIDADO","",Tabela4[[#This Row],[VCTO]]-$I$5)</f>
        <v>16</v>
      </c>
      <c r="O663" s="247"/>
      <c r="P663" s="248"/>
      <c r="Q663" s="247"/>
      <c r="R663" s="247"/>
      <c r="S663" s="247"/>
      <c r="T663" s="26" t="s">
        <v>205</v>
      </c>
      <c r="U663" s="26"/>
      <c r="V663" s="5"/>
    </row>
    <row r="664" spans="1:22">
      <c r="A664" s="255" t="s">
        <v>0</v>
      </c>
      <c r="B664" s="256">
        <v>46072</v>
      </c>
      <c r="C664" s="6" t="s">
        <v>43</v>
      </c>
      <c r="D664" s="247">
        <v>389</v>
      </c>
      <c r="E664" s="35" t="s">
        <v>92</v>
      </c>
      <c r="F664" s="26" t="s">
        <v>497</v>
      </c>
      <c r="G664" s="249">
        <v>14638183000180</v>
      </c>
      <c r="H664" s="258">
        <v>1356.67</v>
      </c>
      <c r="I664" s="259">
        <v>46100</v>
      </c>
      <c r="J664" s="252" t="s">
        <v>91</v>
      </c>
      <c r="K664" s="247" t="s">
        <v>77</v>
      </c>
      <c r="L664" s="6">
        <v>46073</v>
      </c>
      <c r="M664" s="255" t="str">
        <f ca="1">IF(Tabela4[[#This Row],[RECOMPRADO]]="RECEBIDO","LIQUIDADO",IF(O664="LIQUIDADO","LIQUIDADO",IF(I664&lt;$I$5,"VENCIDO","A VENCER")))</f>
        <v>A VENCER</v>
      </c>
      <c r="N664" s="261">
        <f ca="1">IF(Tabela4[[#This Row],[STATUS]]="LIQUIDADO","",Tabela4[[#This Row],[VCTO]]-$I$5)</f>
        <v>2</v>
      </c>
      <c r="O664" s="255"/>
      <c r="P664" s="256"/>
      <c r="Q664" s="255"/>
      <c r="R664" s="255"/>
      <c r="S664" s="255"/>
      <c r="T664" s="5" t="s">
        <v>205</v>
      </c>
      <c r="U664" s="5"/>
      <c r="V664" s="5"/>
    </row>
    <row r="665" spans="1:22">
      <c r="A665" s="247" t="s">
        <v>0</v>
      </c>
      <c r="B665" s="248">
        <v>46072</v>
      </c>
      <c r="C665" s="11" t="s">
        <v>43</v>
      </c>
      <c r="D665" s="247">
        <v>389</v>
      </c>
      <c r="E665" s="35" t="s">
        <v>95</v>
      </c>
      <c r="F665" s="26" t="s">
        <v>497</v>
      </c>
      <c r="G665" s="249">
        <v>14638183000180</v>
      </c>
      <c r="H665" s="250">
        <v>1356.67</v>
      </c>
      <c r="I665" s="251">
        <v>46107</v>
      </c>
      <c r="J665" s="252" t="s">
        <v>91</v>
      </c>
      <c r="K665" s="247" t="s">
        <v>77</v>
      </c>
      <c r="L665" s="6">
        <v>46073</v>
      </c>
      <c r="M665" s="247" t="str">
        <f ca="1">IF(Tabela4[[#This Row],[RECOMPRADO]]="RECEBIDO","LIQUIDADO",IF(O665="LIQUIDADO","LIQUIDADO",IF(I665&lt;$I$5,"VENCIDO","A VENCER")))</f>
        <v>A VENCER</v>
      </c>
      <c r="N665" s="253">
        <f ca="1">IF(Tabela4[[#This Row],[STATUS]]="LIQUIDADO","",Tabela4[[#This Row],[VCTO]]-$I$5)</f>
        <v>9</v>
      </c>
      <c r="O665" s="247"/>
      <c r="P665" s="248"/>
      <c r="Q665" s="247"/>
      <c r="R665" s="247"/>
      <c r="S665" s="247"/>
      <c r="T665" s="5" t="s">
        <v>205</v>
      </c>
      <c r="U665" s="5"/>
      <c r="V665" s="5"/>
    </row>
    <row r="666" spans="1:22">
      <c r="A666" s="247" t="s">
        <v>0</v>
      </c>
      <c r="B666" s="248">
        <v>46072</v>
      </c>
      <c r="C666" s="11" t="s">
        <v>43</v>
      </c>
      <c r="D666" s="247">
        <v>389</v>
      </c>
      <c r="E666" s="35" t="s">
        <v>96</v>
      </c>
      <c r="F666" s="26" t="s">
        <v>497</v>
      </c>
      <c r="G666" s="249">
        <v>14638183000180</v>
      </c>
      <c r="H666" s="250">
        <v>1356.67</v>
      </c>
      <c r="I666" s="251">
        <v>46114</v>
      </c>
      <c r="J666" s="252" t="s">
        <v>91</v>
      </c>
      <c r="K666" s="247" t="s">
        <v>77</v>
      </c>
      <c r="L666" s="6">
        <v>46073</v>
      </c>
      <c r="M666" s="247" t="str">
        <f ca="1">IF(Tabela4[[#This Row],[RECOMPRADO]]="RECEBIDO","LIQUIDADO",IF(O666="LIQUIDADO","LIQUIDADO",IF(I666&lt;$I$5,"VENCIDO","A VENCER")))</f>
        <v>A VENCER</v>
      </c>
      <c r="N666" s="253">
        <f ca="1">IF(Tabela4[[#This Row],[STATUS]]="LIQUIDADO","",Tabela4[[#This Row],[VCTO]]-$I$5)</f>
        <v>16</v>
      </c>
      <c r="O666" s="247"/>
      <c r="P666" s="248"/>
      <c r="Q666" s="247"/>
      <c r="R666" s="247"/>
      <c r="S666" s="247"/>
      <c r="T666" s="26" t="s">
        <v>205</v>
      </c>
      <c r="U666" s="26"/>
      <c r="V666" s="5"/>
    </row>
    <row r="667" spans="1:22">
      <c r="A667" s="247" t="s">
        <v>0</v>
      </c>
      <c r="B667" s="248">
        <v>46072</v>
      </c>
      <c r="C667" s="11" t="s">
        <v>41</v>
      </c>
      <c r="D667" s="247">
        <v>394</v>
      </c>
      <c r="E667" s="35" t="s">
        <v>92</v>
      </c>
      <c r="F667" s="26" t="s">
        <v>501</v>
      </c>
      <c r="G667" s="249">
        <v>20066876000148</v>
      </c>
      <c r="H667" s="250">
        <v>1808.37</v>
      </c>
      <c r="I667" s="251">
        <v>46083</v>
      </c>
      <c r="J667" s="252" t="s">
        <v>91</v>
      </c>
      <c r="K667" s="247" t="s">
        <v>77</v>
      </c>
      <c r="L667" s="11">
        <v>46080</v>
      </c>
      <c r="M667" s="247" t="str">
        <f>IF(Tabela4[[#This Row],[RECOMPRADO]]="RECEBIDO","LIQUIDADO",IF(O667="LIQUIDADO","LIQUIDADO",IF(I667&lt;$I$5,"VENCIDO","A VENCER")))</f>
        <v>LIQUIDADO</v>
      </c>
      <c r="N667" s="253" t="str">
        <f>IF(Tabela4[[#This Row],[STATUS]]="LIQUIDADO","",Tabela4[[#This Row],[VCTO]]-$I$5)</f>
        <v/>
      </c>
      <c r="O667" s="247" t="s">
        <v>86</v>
      </c>
      <c r="P667" s="248"/>
      <c r="Q667" s="247"/>
      <c r="R667" s="247"/>
      <c r="S667" s="247"/>
      <c r="T667" s="26" t="s">
        <v>543</v>
      </c>
      <c r="U667" s="26"/>
      <c r="V667" s="5"/>
    </row>
    <row r="668" spans="1:22">
      <c r="A668" s="247" t="s">
        <v>0</v>
      </c>
      <c r="B668" s="248">
        <v>46072</v>
      </c>
      <c r="C668" s="11" t="s">
        <v>43</v>
      </c>
      <c r="D668" s="247">
        <v>394</v>
      </c>
      <c r="E668" s="35" t="s">
        <v>92</v>
      </c>
      <c r="F668" s="26" t="s">
        <v>501</v>
      </c>
      <c r="G668" s="249">
        <v>20066876000148</v>
      </c>
      <c r="H668" s="250">
        <v>3727.5</v>
      </c>
      <c r="I668" s="251">
        <v>46083</v>
      </c>
      <c r="J668" s="252" t="s">
        <v>91</v>
      </c>
      <c r="K668" s="247" t="s">
        <v>77</v>
      </c>
      <c r="L668" s="11">
        <v>46080</v>
      </c>
      <c r="M668" s="247" t="str">
        <f>IF(Tabela4[[#This Row],[RECOMPRADO]]="RECEBIDO","LIQUIDADO",IF(O668="LIQUIDADO","LIQUIDADO",IF(I668&lt;$I$5,"VENCIDO","A VENCER")))</f>
        <v>LIQUIDADO</v>
      </c>
      <c r="N668" s="253" t="str">
        <f>IF(Tabela4[[#This Row],[STATUS]]="LIQUIDADO","",Tabela4[[#This Row],[VCTO]]-$I$5)</f>
        <v/>
      </c>
      <c r="O668" s="247" t="s">
        <v>86</v>
      </c>
      <c r="P668" s="248"/>
      <c r="Q668" s="247"/>
      <c r="R668" s="247"/>
      <c r="S668" s="247"/>
      <c r="T668" s="26" t="s">
        <v>543</v>
      </c>
      <c r="U668" s="26"/>
      <c r="V668" s="5"/>
    </row>
    <row r="669" spans="1:22">
      <c r="A669" s="255" t="s">
        <v>0</v>
      </c>
      <c r="B669" s="256">
        <v>46072</v>
      </c>
      <c r="C669" s="6" t="s">
        <v>41</v>
      </c>
      <c r="D669" s="255">
        <v>405</v>
      </c>
      <c r="E669" s="10" t="s">
        <v>92</v>
      </c>
      <c r="F669" s="26" t="s">
        <v>503</v>
      </c>
      <c r="G669" s="249">
        <v>42108054000115</v>
      </c>
      <c r="H669" s="250">
        <v>2880</v>
      </c>
      <c r="I669" s="217">
        <v>46072</v>
      </c>
      <c r="J669" s="252" t="s">
        <v>125</v>
      </c>
      <c r="K669" s="247"/>
      <c r="L669" s="256"/>
      <c r="M669" s="255" t="str">
        <f>IF(Tabela4[[#This Row],[RECOMPRADO]]="RECEBIDO","LIQUIDADO",IF(O669="LIQUIDADO","LIQUIDADO",IF(I669&lt;$I$5,"VENCIDO","A VENCER")))</f>
        <v>LIQUIDADO</v>
      </c>
      <c r="N669" s="261" t="str">
        <f>IF(Tabela4[[#This Row],[STATUS]]="LIQUIDADO","",Tabela4[[#This Row],[VCTO]]-$I$5)</f>
        <v/>
      </c>
      <c r="O669" s="255" t="s">
        <v>86</v>
      </c>
      <c r="P669" s="256"/>
      <c r="Q669" s="255"/>
      <c r="R669" s="255"/>
      <c r="S669" s="255"/>
      <c r="T669" s="247"/>
      <c r="U669" s="247"/>
      <c r="V669" s="5"/>
    </row>
    <row r="670" spans="1:22">
      <c r="A670" s="255" t="s">
        <v>0</v>
      </c>
      <c r="B670" s="6">
        <v>46072</v>
      </c>
      <c r="C670" s="6" t="s">
        <v>41</v>
      </c>
      <c r="D670" s="255">
        <v>406</v>
      </c>
      <c r="E670" s="10" t="s">
        <v>92</v>
      </c>
      <c r="F670" s="26" t="s">
        <v>506</v>
      </c>
      <c r="G670" s="249">
        <v>4425099400170</v>
      </c>
      <c r="H670" s="250">
        <v>16811.25</v>
      </c>
      <c r="I670" s="251">
        <v>46072</v>
      </c>
      <c r="J670" s="252" t="s">
        <v>125</v>
      </c>
      <c r="K670" s="247"/>
      <c r="L670" s="256"/>
      <c r="M670" s="255" t="str">
        <f>IF(Tabela4[[#This Row],[RECOMPRADO]]="RECEBIDO","LIQUIDADO",IF(O670="LIQUIDADO","LIQUIDADO",IF(I670&lt;$I$5,"VENCIDO","A VENCER")))</f>
        <v>LIQUIDADO</v>
      </c>
      <c r="N670" s="261" t="str">
        <f>IF(Tabela4[[#This Row],[STATUS]]="LIQUIDADO","",Tabela4[[#This Row],[VCTO]]-$I$5)</f>
        <v/>
      </c>
      <c r="O670" s="255" t="s">
        <v>86</v>
      </c>
      <c r="P670" s="256"/>
      <c r="Q670" s="255"/>
      <c r="R670" s="255"/>
      <c r="S670" s="255"/>
      <c r="T670" s="247"/>
      <c r="U670" s="247"/>
      <c r="V670" s="5"/>
    </row>
    <row r="671" spans="1:22">
      <c r="A671" s="247" t="s">
        <v>0</v>
      </c>
      <c r="B671" s="248">
        <v>46072</v>
      </c>
      <c r="C671" s="11" t="s">
        <v>41</v>
      </c>
      <c r="D671" s="247">
        <v>403</v>
      </c>
      <c r="E671" s="35" t="s">
        <v>92</v>
      </c>
      <c r="F671" s="26" t="s">
        <v>507</v>
      </c>
      <c r="G671" s="249">
        <v>22607336000150</v>
      </c>
      <c r="H671" s="250">
        <v>642</v>
      </c>
      <c r="I671" s="251">
        <v>46105</v>
      </c>
      <c r="J671" s="252" t="s">
        <v>91</v>
      </c>
      <c r="K671" s="247" t="s">
        <v>77</v>
      </c>
      <c r="L671" s="248">
        <v>46073</v>
      </c>
      <c r="M671" s="247" t="str">
        <f ca="1">IF(Tabela4[[#This Row],[RECOMPRADO]]="RECEBIDO","LIQUIDADO",IF(O671="LIQUIDADO","LIQUIDADO",IF(I671&lt;$I$5,"VENCIDO","A VENCER")))</f>
        <v>A VENCER</v>
      </c>
      <c r="N671" s="253">
        <f ca="1">IF(Tabela4[[#This Row],[STATUS]]="LIQUIDADO","",Tabela4[[#This Row],[VCTO]]-$I$5)</f>
        <v>7</v>
      </c>
      <c r="O671" s="247"/>
      <c r="P671" s="248"/>
      <c r="Q671" s="247"/>
      <c r="R671" s="247"/>
      <c r="S671" s="247"/>
      <c r="T671" s="26" t="s">
        <v>596</v>
      </c>
      <c r="U671" s="26"/>
      <c r="V671" s="5"/>
    </row>
    <row r="672" spans="1:22">
      <c r="A672" s="247" t="s">
        <v>0</v>
      </c>
      <c r="B672" s="248">
        <v>46072</v>
      </c>
      <c r="C672" s="248" t="s">
        <v>41</v>
      </c>
      <c r="D672" s="247">
        <v>403</v>
      </c>
      <c r="E672" s="35" t="s">
        <v>95</v>
      </c>
      <c r="F672" s="26" t="s">
        <v>507</v>
      </c>
      <c r="G672" s="249">
        <v>22607336000150</v>
      </c>
      <c r="H672" s="250">
        <v>642</v>
      </c>
      <c r="I672" s="251">
        <v>46112</v>
      </c>
      <c r="J672" s="252" t="s">
        <v>91</v>
      </c>
      <c r="K672" s="247" t="s">
        <v>77</v>
      </c>
      <c r="L672" s="248">
        <v>46073</v>
      </c>
      <c r="M672" s="247" t="str">
        <f ca="1">IF(Tabela4[[#This Row],[RECOMPRADO]]="RECEBIDO","LIQUIDADO",IF(O672="LIQUIDADO","LIQUIDADO",IF(I672&lt;$I$5,"VENCIDO","A VENCER")))</f>
        <v>A VENCER</v>
      </c>
      <c r="N672" s="253">
        <f ca="1">IF(Tabela4[[#This Row],[STATUS]]="LIQUIDADO","",Tabela4[[#This Row],[VCTO]]-$I$5)</f>
        <v>14</v>
      </c>
      <c r="O672" s="247"/>
      <c r="P672" s="248"/>
      <c r="Q672" s="247"/>
      <c r="R672" s="247"/>
      <c r="S672" s="247"/>
      <c r="T672" s="26" t="s">
        <v>596</v>
      </c>
      <c r="U672" s="26"/>
      <c r="V672" s="5"/>
    </row>
    <row r="673" spans="1:22">
      <c r="A673" s="247" t="s">
        <v>0</v>
      </c>
      <c r="B673" s="248">
        <v>46072</v>
      </c>
      <c r="C673" s="11" t="s">
        <v>43</v>
      </c>
      <c r="D673" s="247">
        <v>403</v>
      </c>
      <c r="E673" s="35" t="s">
        <v>92</v>
      </c>
      <c r="F673" s="26" t="s">
        <v>507</v>
      </c>
      <c r="G673" s="249">
        <v>22607336000150</v>
      </c>
      <c r="H673" s="250">
        <v>642</v>
      </c>
      <c r="I673" s="251">
        <v>46105</v>
      </c>
      <c r="J673" s="252" t="s">
        <v>91</v>
      </c>
      <c r="K673" s="247" t="s">
        <v>77</v>
      </c>
      <c r="L673" s="248">
        <v>46073</v>
      </c>
      <c r="M673" s="247" t="str">
        <f ca="1">IF(Tabela4[[#This Row],[RECOMPRADO]]="RECEBIDO","LIQUIDADO",IF(O673="LIQUIDADO","LIQUIDADO",IF(I673&lt;$I$5,"VENCIDO","A VENCER")))</f>
        <v>A VENCER</v>
      </c>
      <c r="N673" s="253">
        <f ca="1">IF(Tabela4[[#This Row],[STATUS]]="LIQUIDADO","",Tabela4[[#This Row],[VCTO]]-$I$5)</f>
        <v>7</v>
      </c>
      <c r="O673" s="247"/>
      <c r="P673" s="248"/>
      <c r="Q673" s="247"/>
      <c r="R673" s="247"/>
      <c r="S673" s="247"/>
      <c r="T673" s="26" t="s">
        <v>596</v>
      </c>
      <c r="U673" s="26"/>
      <c r="V673" s="5"/>
    </row>
    <row r="674" spans="1:22">
      <c r="A674" s="247" t="s">
        <v>0</v>
      </c>
      <c r="B674" s="248">
        <v>46072</v>
      </c>
      <c r="C674" s="11" t="s">
        <v>43</v>
      </c>
      <c r="D674" s="247">
        <v>403</v>
      </c>
      <c r="E674" s="35" t="s">
        <v>95</v>
      </c>
      <c r="F674" s="26" t="s">
        <v>507</v>
      </c>
      <c r="G674" s="249">
        <v>22607336000150</v>
      </c>
      <c r="H674" s="250">
        <v>642</v>
      </c>
      <c r="I674" s="251">
        <v>46112</v>
      </c>
      <c r="J674" s="252" t="s">
        <v>91</v>
      </c>
      <c r="K674" s="247" t="s">
        <v>77</v>
      </c>
      <c r="L674" s="248">
        <v>46073</v>
      </c>
      <c r="M674" s="247" t="str">
        <f ca="1">IF(Tabela4[[#This Row],[RECOMPRADO]]="RECEBIDO","LIQUIDADO",IF(O674="LIQUIDADO","LIQUIDADO",IF(I674&lt;$I$5,"VENCIDO","A VENCER")))</f>
        <v>A VENCER</v>
      </c>
      <c r="N674" s="253">
        <f ca="1">IF(Tabela4[[#This Row],[STATUS]]="LIQUIDADO","",Tabela4[[#This Row],[VCTO]]-$I$5)</f>
        <v>14</v>
      </c>
      <c r="O674" s="247"/>
      <c r="P674" s="248"/>
      <c r="Q674" s="247"/>
      <c r="R674" s="247"/>
      <c r="S674" s="247"/>
      <c r="T674" s="26" t="s">
        <v>596</v>
      </c>
      <c r="U674" s="26"/>
      <c r="V674" s="5"/>
    </row>
    <row r="675" spans="1:22">
      <c r="A675" s="247" t="s">
        <v>0</v>
      </c>
      <c r="B675" s="248">
        <v>46072</v>
      </c>
      <c r="C675" s="11" t="s">
        <v>41</v>
      </c>
      <c r="D675" s="247">
        <v>404</v>
      </c>
      <c r="E675" s="35" t="s">
        <v>92</v>
      </c>
      <c r="F675" s="26" t="s">
        <v>300</v>
      </c>
      <c r="G675" s="249">
        <v>50160305000139</v>
      </c>
      <c r="H675" s="250">
        <v>504</v>
      </c>
      <c r="I675" s="251">
        <v>46104</v>
      </c>
      <c r="J675" s="252" t="s">
        <v>91</v>
      </c>
      <c r="K675" s="247" t="s">
        <v>77</v>
      </c>
      <c r="L675" s="6">
        <v>46073</v>
      </c>
      <c r="M675" s="247" t="str">
        <f ca="1">IF(Tabela4[[#This Row],[RECOMPRADO]]="RECEBIDO","LIQUIDADO",IF(O675="LIQUIDADO","LIQUIDADO",IF(I675&lt;$I$5,"VENCIDO","A VENCER")))</f>
        <v>A VENCER</v>
      </c>
      <c r="N675" s="253">
        <f ca="1">IF(Tabela4[[#This Row],[STATUS]]="LIQUIDADO","",Tabela4[[#This Row],[VCTO]]-$I$5)</f>
        <v>6</v>
      </c>
      <c r="O675" s="247"/>
      <c r="P675" s="248"/>
      <c r="Q675" s="247"/>
      <c r="R675" s="247"/>
      <c r="S675" s="247"/>
      <c r="T675" s="247"/>
      <c r="U675" s="247"/>
      <c r="V675" s="5"/>
    </row>
    <row r="676" spans="1:22">
      <c r="A676" s="247" t="s">
        <v>0</v>
      </c>
      <c r="B676" s="248">
        <v>46072</v>
      </c>
      <c r="C676" s="248" t="s">
        <v>41</v>
      </c>
      <c r="D676" s="247">
        <v>404</v>
      </c>
      <c r="E676" s="35" t="s">
        <v>95</v>
      </c>
      <c r="F676" s="26" t="s">
        <v>300</v>
      </c>
      <c r="G676" s="249">
        <v>50160305000139</v>
      </c>
      <c r="H676" s="250">
        <v>504</v>
      </c>
      <c r="I676" s="251">
        <v>46111</v>
      </c>
      <c r="J676" s="252" t="s">
        <v>91</v>
      </c>
      <c r="K676" s="247" t="s">
        <v>77</v>
      </c>
      <c r="L676" s="6">
        <v>46073</v>
      </c>
      <c r="M676" s="247" t="str">
        <f ca="1">IF(Tabela4[[#This Row],[RECOMPRADO]]="RECEBIDO","LIQUIDADO",IF(O676="LIQUIDADO","LIQUIDADO",IF(I676&lt;$I$5,"VENCIDO","A VENCER")))</f>
        <v>A VENCER</v>
      </c>
      <c r="N676" s="253">
        <f ca="1">IF(Tabela4[[#This Row],[STATUS]]="LIQUIDADO","",Tabela4[[#This Row],[VCTO]]-$I$5)</f>
        <v>13</v>
      </c>
      <c r="O676" s="247"/>
      <c r="P676" s="248"/>
      <c r="Q676" s="247"/>
      <c r="R676" s="247"/>
      <c r="S676" s="247"/>
      <c r="T676" s="247"/>
      <c r="U676" s="247"/>
      <c r="V676" s="5"/>
    </row>
    <row r="677" spans="1:22">
      <c r="A677" s="247" t="s">
        <v>0</v>
      </c>
      <c r="B677" s="248">
        <v>46072</v>
      </c>
      <c r="C677" s="248" t="s">
        <v>41</v>
      </c>
      <c r="D677" s="247">
        <v>404</v>
      </c>
      <c r="E677" s="35" t="s">
        <v>96</v>
      </c>
      <c r="F677" s="26" t="s">
        <v>300</v>
      </c>
      <c r="G677" s="249">
        <v>50160305000139</v>
      </c>
      <c r="H677" s="250">
        <v>504</v>
      </c>
      <c r="I677" s="251">
        <v>46118</v>
      </c>
      <c r="J677" s="252" t="s">
        <v>91</v>
      </c>
      <c r="K677" s="247" t="s">
        <v>77</v>
      </c>
      <c r="L677" s="6">
        <v>46073</v>
      </c>
      <c r="M677" s="247" t="str">
        <f ca="1">IF(Tabela4[[#This Row],[RECOMPRADO]]="RECEBIDO","LIQUIDADO",IF(O677="LIQUIDADO","LIQUIDADO",IF(I677&lt;$I$5,"VENCIDO","A VENCER")))</f>
        <v>A VENCER</v>
      </c>
      <c r="N677" s="253">
        <f ca="1">IF(Tabela4[[#This Row],[STATUS]]="LIQUIDADO","",Tabela4[[#This Row],[VCTO]]-$I$5)</f>
        <v>20</v>
      </c>
      <c r="O677" s="247"/>
      <c r="P677" s="248"/>
      <c r="Q677" s="247"/>
      <c r="R677" s="247"/>
      <c r="S677" s="247"/>
      <c r="T677" s="247"/>
      <c r="U677" s="247"/>
      <c r="V677" s="5"/>
    </row>
    <row r="678" spans="1:22">
      <c r="A678" s="255" t="s">
        <v>0</v>
      </c>
      <c r="B678" s="256">
        <v>46072</v>
      </c>
      <c r="C678" s="6" t="s">
        <v>43</v>
      </c>
      <c r="D678" s="255">
        <v>404</v>
      </c>
      <c r="E678" s="10" t="s">
        <v>92</v>
      </c>
      <c r="F678" s="26" t="s">
        <v>300</v>
      </c>
      <c r="G678" s="249">
        <v>50160305000139</v>
      </c>
      <c r="H678" s="250">
        <v>504</v>
      </c>
      <c r="I678" s="251">
        <v>46104</v>
      </c>
      <c r="J678" s="252" t="s">
        <v>91</v>
      </c>
      <c r="K678" s="247" t="s">
        <v>77</v>
      </c>
      <c r="L678" s="6">
        <v>46073</v>
      </c>
      <c r="M678" s="255" t="str">
        <f ca="1">IF(Tabela4[[#This Row],[RECOMPRADO]]="RECEBIDO","LIQUIDADO",IF(O678="LIQUIDADO","LIQUIDADO",IF(I678&lt;$I$5,"VENCIDO","A VENCER")))</f>
        <v>A VENCER</v>
      </c>
      <c r="N678" s="261">
        <f ca="1">IF(Tabela4[[#This Row],[STATUS]]="LIQUIDADO","",Tabela4[[#This Row],[VCTO]]-$I$5)</f>
        <v>6</v>
      </c>
      <c r="O678" s="255"/>
      <c r="P678" s="256"/>
      <c r="Q678" s="255"/>
      <c r="R678" s="255"/>
      <c r="S678" s="255"/>
      <c r="T678" s="255"/>
      <c r="U678" s="255"/>
      <c r="V678" s="5"/>
    </row>
    <row r="679" spans="1:22">
      <c r="A679" s="255" t="s">
        <v>0</v>
      </c>
      <c r="B679" s="256">
        <v>46072</v>
      </c>
      <c r="C679" s="6" t="s">
        <v>43</v>
      </c>
      <c r="D679" s="255">
        <v>404</v>
      </c>
      <c r="E679" s="10" t="s">
        <v>95</v>
      </c>
      <c r="F679" s="26" t="s">
        <v>300</v>
      </c>
      <c r="G679" s="249">
        <v>50160305000139</v>
      </c>
      <c r="H679" s="250">
        <v>504</v>
      </c>
      <c r="I679" s="251">
        <v>46111</v>
      </c>
      <c r="J679" s="252" t="s">
        <v>91</v>
      </c>
      <c r="K679" s="247" t="s">
        <v>77</v>
      </c>
      <c r="L679" s="6">
        <v>46073</v>
      </c>
      <c r="M679" s="255" t="str">
        <f ca="1">IF(Tabela4[[#This Row],[RECOMPRADO]]="RECEBIDO","LIQUIDADO",IF(O679="LIQUIDADO","LIQUIDADO",IF(I679&lt;$I$5,"VENCIDO","A VENCER")))</f>
        <v>A VENCER</v>
      </c>
      <c r="N679" s="261">
        <f ca="1">IF(Tabela4[[#This Row],[STATUS]]="LIQUIDADO","",Tabela4[[#This Row],[VCTO]]-$I$5)</f>
        <v>13</v>
      </c>
      <c r="O679" s="255"/>
      <c r="P679" s="256"/>
      <c r="Q679" s="255"/>
      <c r="R679" s="255"/>
      <c r="S679" s="255"/>
      <c r="T679" s="255"/>
      <c r="U679" s="255"/>
      <c r="V679" s="5"/>
    </row>
    <row r="680" spans="1:22">
      <c r="A680" s="247" t="s">
        <v>0</v>
      </c>
      <c r="B680" s="248">
        <v>46072</v>
      </c>
      <c r="C680" s="11" t="s">
        <v>43</v>
      </c>
      <c r="D680" s="247">
        <v>404</v>
      </c>
      <c r="E680" s="35" t="s">
        <v>96</v>
      </c>
      <c r="F680" s="26" t="s">
        <v>300</v>
      </c>
      <c r="G680" s="249">
        <v>50160305000139</v>
      </c>
      <c r="H680" s="250">
        <v>504</v>
      </c>
      <c r="I680" s="251">
        <v>46118</v>
      </c>
      <c r="J680" s="252" t="s">
        <v>91</v>
      </c>
      <c r="K680" s="247" t="s">
        <v>77</v>
      </c>
      <c r="L680" s="248">
        <v>46073</v>
      </c>
      <c r="M680" s="247" t="str">
        <f ca="1">IF(Tabela4[[#This Row],[RECOMPRADO]]="RECEBIDO","LIQUIDADO",IF(O680="LIQUIDADO","LIQUIDADO",IF(I680&lt;$I$5,"VENCIDO","A VENCER")))</f>
        <v>A VENCER</v>
      </c>
      <c r="N680" s="253">
        <f ca="1">IF(Tabela4[[#This Row],[STATUS]]="LIQUIDADO","",Tabela4[[#This Row],[VCTO]]-$I$5)</f>
        <v>20</v>
      </c>
      <c r="O680" s="247"/>
      <c r="P680" s="248"/>
      <c r="Q680" s="247"/>
      <c r="R680" s="247"/>
      <c r="S680" s="247"/>
      <c r="T680" s="247"/>
      <c r="U680" s="247"/>
      <c r="V680" s="5"/>
    </row>
    <row r="681" spans="1:22">
      <c r="A681" s="247" t="s">
        <v>108</v>
      </c>
      <c r="B681" s="248">
        <v>46072</v>
      </c>
      <c r="C681" s="11" t="s">
        <v>41</v>
      </c>
      <c r="D681" s="247">
        <v>716</v>
      </c>
      <c r="E681" s="35" t="s">
        <v>92</v>
      </c>
      <c r="F681" s="26" t="s">
        <v>508</v>
      </c>
      <c r="G681" s="249">
        <v>34384069000188</v>
      </c>
      <c r="H681" s="250">
        <v>1276.67</v>
      </c>
      <c r="I681" s="251">
        <v>46107</v>
      </c>
      <c r="J681" s="252" t="s">
        <v>91</v>
      </c>
      <c r="K681" s="247" t="s">
        <v>77</v>
      </c>
      <c r="L681" s="248">
        <v>46073</v>
      </c>
      <c r="M681" s="247" t="str">
        <f ca="1">IF(Tabela4[[#This Row],[RECOMPRADO]]="RECEBIDO","LIQUIDADO",IF(O681="LIQUIDADO","LIQUIDADO",IF(I681&lt;$I$5,"VENCIDO","A VENCER")))</f>
        <v>A VENCER</v>
      </c>
      <c r="N681" s="253">
        <f ca="1">IF(Tabela4[[#This Row],[STATUS]]="LIQUIDADO","",Tabela4[[#This Row],[VCTO]]-$I$5)</f>
        <v>9</v>
      </c>
      <c r="O681" s="247"/>
      <c r="P681" s="248"/>
      <c r="Q681" s="247"/>
      <c r="R681" s="247"/>
      <c r="S681" s="247"/>
      <c r="T681" s="247"/>
      <c r="U681" s="247"/>
      <c r="V681" s="5"/>
    </row>
    <row r="682" spans="1:22">
      <c r="A682" s="247" t="s">
        <v>108</v>
      </c>
      <c r="B682" s="248">
        <v>46072</v>
      </c>
      <c r="C682" s="248" t="s">
        <v>41</v>
      </c>
      <c r="D682" s="247">
        <v>716</v>
      </c>
      <c r="E682" s="35" t="s">
        <v>95</v>
      </c>
      <c r="F682" s="26" t="s">
        <v>508</v>
      </c>
      <c r="G682" s="249">
        <v>34384069000188</v>
      </c>
      <c r="H682" s="250">
        <v>1276.67</v>
      </c>
      <c r="I682" s="251">
        <v>46114</v>
      </c>
      <c r="J682" s="252" t="s">
        <v>91</v>
      </c>
      <c r="K682" s="247" t="s">
        <v>77</v>
      </c>
      <c r="L682" s="248">
        <v>46073</v>
      </c>
      <c r="M682" s="247" t="str">
        <f ca="1">IF(Tabela4[[#This Row],[RECOMPRADO]]="RECEBIDO","LIQUIDADO",IF(O682="LIQUIDADO","LIQUIDADO",IF(I682&lt;$I$5,"VENCIDO","A VENCER")))</f>
        <v>A VENCER</v>
      </c>
      <c r="N682" s="253">
        <f ca="1">IF(Tabela4[[#This Row],[STATUS]]="LIQUIDADO","",Tabela4[[#This Row],[VCTO]]-$I$5)</f>
        <v>16</v>
      </c>
      <c r="O682" s="247"/>
      <c r="P682" s="248"/>
      <c r="Q682" s="247"/>
      <c r="R682" s="247"/>
      <c r="S682" s="247"/>
      <c r="T682" s="247"/>
      <c r="U682" s="247"/>
      <c r="V682" s="5"/>
    </row>
    <row r="683" spans="1:22">
      <c r="A683" s="247" t="s">
        <v>108</v>
      </c>
      <c r="B683" s="248">
        <v>46072</v>
      </c>
      <c r="C683" s="248" t="s">
        <v>41</v>
      </c>
      <c r="D683" s="247">
        <v>716</v>
      </c>
      <c r="E683" s="35" t="s">
        <v>96</v>
      </c>
      <c r="F683" s="26" t="s">
        <v>508</v>
      </c>
      <c r="G683" s="249">
        <v>34384069000188</v>
      </c>
      <c r="H683" s="250">
        <v>1276.67</v>
      </c>
      <c r="I683" s="251">
        <v>46121</v>
      </c>
      <c r="J683" s="252" t="s">
        <v>91</v>
      </c>
      <c r="K683" s="247" t="s">
        <v>77</v>
      </c>
      <c r="L683" s="248">
        <v>46073</v>
      </c>
      <c r="M683" s="247" t="str">
        <f ca="1">IF(Tabela4[[#This Row],[RECOMPRADO]]="RECEBIDO","LIQUIDADO",IF(O683="LIQUIDADO","LIQUIDADO",IF(I683&lt;$I$5,"VENCIDO","A VENCER")))</f>
        <v>A VENCER</v>
      </c>
      <c r="N683" s="253">
        <f ca="1">IF(Tabela4[[#This Row],[STATUS]]="LIQUIDADO","",Tabela4[[#This Row],[VCTO]]-$I$5)</f>
        <v>23</v>
      </c>
      <c r="O683" s="247"/>
      <c r="P683" s="248"/>
      <c r="Q683" s="247"/>
      <c r="R683" s="247"/>
      <c r="S683" s="247"/>
      <c r="T683" s="247"/>
      <c r="U683" s="247"/>
      <c r="V683" s="5"/>
    </row>
    <row r="684" spans="1:22">
      <c r="A684" s="247" t="s">
        <v>0</v>
      </c>
      <c r="B684" s="248">
        <v>46072</v>
      </c>
      <c r="C684" s="11" t="s">
        <v>41</v>
      </c>
      <c r="D684" s="247">
        <v>402</v>
      </c>
      <c r="E684" s="35" t="s">
        <v>92</v>
      </c>
      <c r="F684" s="26" t="s">
        <v>509</v>
      </c>
      <c r="G684" s="249">
        <v>43946880000104</v>
      </c>
      <c r="H684" s="250">
        <v>1366.67</v>
      </c>
      <c r="I684" s="251">
        <v>46104</v>
      </c>
      <c r="J684" s="252" t="s">
        <v>91</v>
      </c>
      <c r="K684" s="247" t="s">
        <v>77</v>
      </c>
      <c r="L684" s="248">
        <v>46073</v>
      </c>
      <c r="M684" s="247" t="str">
        <f ca="1">IF(Tabela4[[#This Row],[RECOMPRADO]]="RECEBIDO","LIQUIDADO",IF(O684="LIQUIDADO","LIQUIDADO",IF(I684&lt;$I$5,"VENCIDO","A VENCER")))</f>
        <v>A VENCER</v>
      </c>
      <c r="N684" s="253">
        <f ca="1">IF(Tabela4[[#This Row],[STATUS]]="LIQUIDADO","",Tabela4[[#This Row],[VCTO]]-$I$5)</f>
        <v>6</v>
      </c>
      <c r="O684" s="247"/>
      <c r="P684" s="248"/>
      <c r="Q684" s="247"/>
      <c r="R684" s="247"/>
      <c r="S684" s="247"/>
      <c r="T684" s="247"/>
      <c r="U684" s="247"/>
      <c r="V684" s="5"/>
    </row>
    <row r="685" spans="1:22">
      <c r="A685" s="247" t="s">
        <v>0</v>
      </c>
      <c r="B685" s="248">
        <v>46072</v>
      </c>
      <c r="C685" s="248" t="s">
        <v>41</v>
      </c>
      <c r="D685" s="247">
        <v>402</v>
      </c>
      <c r="E685" s="35" t="s">
        <v>95</v>
      </c>
      <c r="F685" s="26" t="s">
        <v>509</v>
      </c>
      <c r="G685" s="249">
        <v>43946880000104</v>
      </c>
      <c r="H685" s="250">
        <v>1366.66</v>
      </c>
      <c r="I685" s="251">
        <v>46111</v>
      </c>
      <c r="J685" s="252" t="s">
        <v>91</v>
      </c>
      <c r="K685" s="247" t="s">
        <v>77</v>
      </c>
      <c r="L685" s="248">
        <v>46073</v>
      </c>
      <c r="M685" s="247" t="str">
        <f ca="1">IF(Tabela4[[#This Row],[RECOMPRADO]]="RECEBIDO","LIQUIDADO",IF(O685="LIQUIDADO","LIQUIDADO",IF(I685&lt;$I$5,"VENCIDO","A VENCER")))</f>
        <v>A VENCER</v>
      </c>
      <c r="N685" s="253">
        <f ca="1">IF(Tabela4[[#This Row],[STATUS]]="LIQUIDADO","",Tabela4[[#This Row],[VCTO]]-$I$5)</f>
        <v>13</v>
      </c>
      <c r="O685" s="247"/>
      <c r="P685" s="248"/>
      <c r="Q685" s="247"/>
      <c r="R685" s="247"/>
      <c r="S685" s="247"/>
      <c r="T685" s="247"/>
      <c r="U685" s="247"/>
      <c r="V685" s="5"/>
    </row>
    <row r="686" spans="1:22">
      <c r="A686" s="247" t="s">
        <v>0</v>
      </c>
      <c r="B686" s="248">
        <v>46072</v>
      </c>
      <c r="C686" s="248" t="s">
        <v>41</v>
      </c>
      <c r="D686" s="247">
        <v>402</v>
      </c>
      <c r="E686" s="35" t="s">
        <v>96</v>
      </c>
      <c r="F686" s="26" t="s">
        <v>509</v>
      </c>
      <c r="G686" s="249">
        <v>43946880000104</v>
      </c>
      <c r="H686" s="250">
        <v>1366.67</v>
      </c>
      <c r="I686" s="251">
        <v>46118</v>
      </c>
      <c r="J686" s="252" t="s">
        <v>91</v>
      </c>
      <c r="K686" s="247" t="s">
        <v>77</v>
      </c>
      <c r="L686" s="248">
        <v>46073</v>
      </c>
      <c r="M686" s="247" t="str">
        <f ca="1">IF(Tabela4[[#This Row],[RECOMPRADO]]="RECEBIDO","LIQUIDADO",IF(O686="LIQUIDADO","LIQUIDADO",IF(I686&lt;$I$5,"VENCIDO","A VENCER")))</f>
        <v>A VENCER</v>
      </c>
      <c r="N686" s="253">
        <f ca="1">IF(Tabela4[[#This Row],[STATUS]]="LIQUIDADO","",Tabela4[[#This Row],[VCTO]]-$I$5)</f>
        <v>20</v>
      </c>
      <c r="O686" s="247"/>
      <c r="P686" s="248"/>
      <c r="Q686" s="247"/>
      <c r="R686" s="247"/>
      <c r="S686" s="247"/>
      <c r="T686" s="247"/>
      <c r="U686" s="247"/>
      <c r="V686" s="5"/>
    </row>
    <row r="687" spans="1:22">
      <c r="A687" s="247" t="s">
        <v>0</v>
      </c>
      <c r="B687" s="248">
        <v>46072</v>
      </c>
      <c r="C687" s="11" t="s">
        <v>43</v>
      </c>
      <c r="D687" s="247">
        <v>402</v>
      </c>
      <c r="E687" s="35" t="s">
        <v>92</v>
      </c>
      <c r="F687" s="26" t="s">
        <v>509</v>
      </c>
      <c r="G687" s="249">
        <v>43946880000104</v>
      </c>
      <c r="H687" s="250">
        <v>1366.66</v>
      </c>
      <c r="I687" s="251">
        <v>46104</v>
      </c>
      <c r="J687" s="252" t="s">
        <v>91</v>
      </c>
      <c r="K687" s="247" t="s">
        <v>77</v>
      </c>
      <c r="L687" s="248">
        <v>46073</v>
      </c>
      <c r="M687" s="247" t="str">
        <f ca="1">IF(Tabela4[[#This Row],[RECOMPRADO]]="RECEBIDO","LIQUIDADO",IF(O687="LIQUIDADO","LIQUIDADO",IF(I687&lt;$I$5,"VENCIDO","A VENCER")))</f>
        <v>A VENCER</v>
      </c>
      <c r="N687" s="253">
        <f ca="1">IF(Tabela4[[#This Row],[STATUS]]="LIQUIDADO","",Tabela4[[#This Row],[VCTO]]-$I$5)</f>
        <v>6</v>
      </c>
      <c r="O687" s="247"/>
      <c r="P687" s="248"/>
      <c r="Q687" s="247"/>
      <c r="R687" s="247"/>
      <c r="S687" s="247"/>
      <c r="T687" s="247"/>
      <c r="U687" s="247"/>
      <c r="V687" s="5"/>
    </row>
    <row r="688" spans="1:22">
      <c r="A688" s="247" t="s">
        <v>0</v>
      </c>
      <c r="B688" s="248">
        <v>46072</v>
      </c>
      <c r="C688" s="11" t="s">
        <v>43</v>
      </c>
      <c r="D688" s="247">
        <v>402</v>
      </c>
      <c r="E688" s="35" t="s">
        <v>95</v>
      </c>
      <c r="F688" s="26" t="s">
        <v>509</v>
      </c>
      <c r="G688" s="249">
        <v>43946880000104</v>
      </c>
      <c r="H688" s="250">
        <v>1366.66</v>
      </c>
      <c r="I688" s="251">
        <v>46111</v>
      </c>
      <c r="J688" s="252" t="s">
        <v>91</v>
      </c>
      <c r="K688" s="247" t="s">
        <v>77</v>
      </c>
      <c r="L688" s="248">
        <v>46073</v>
      </c>
      <c r="M688" s="247" t="str">
        <f ca="1">IF(Tabela4[[#This Row],[RECOMPRADO]]="RECEBIDO","LIQUIDADO",IF(O688="LIQUIDADO","LIQUIDADO",IF(I688&lt;$I$5,"VENCIDO","A VENCER")))</f>
        <v>A VENCER</v>
      </c>
      <c r="N688" s="253">
        <f ca="1">IF(Tabela4[[#This Row],[STATUS]]="LIQUIDADO","",Tabela4[[#This Row],[VCTO]]-$I$5)</f>
        <v>13</v>
      </c>
      <c r="O688" s="247"/>
      <c r="P688" s="248"/>
      <c r="Q688" s="247"/>
      <c r="R688" s="247"/>
      <c r="S688" s="247"/>
      <c r="T688" s="247"/>
      <c r="U688" s="247"/>
      <c r="V688" s="5"/>
    </row>
    <row r="689" spans="1:22">
      <c r="A689" s="247" t="s">
        <v>0</v>
      </c>
      <c r="B689" s="248">
        <v>46072</v>
      </c>
      <c r="C689" s="11" t="s">
        <v>43</v>
      </c>
      <c r="D689" s="247">
        <v>402</v>
      </c>
      <c r="E689" s="35" t="s">
        <v>96</v>
      </c>
      <c r="F689" s="26" t="s">
        <v>509</v>
      </c>
      <c r="G689" s="249">
        <v>43946880000104</v>
      </c>
      <c r="H689" s="250">
        <v>1366.66</v>
      </c>
      <c r="I689" s="251">
        <v>46118</v>
      </c>
      <c r="J689" s="252" t="s">
        <v>91</v>
      </c>
      <c r="K689" s="247" t="s">
        <v>77</v>
      </c>
      <c r="L689" s="248">
        <v>46073</v>
      </c>
      <c r="M689" s="247" t="str">
        <f ca="1">IF(Tabela4[[#This Row],[RECOMPRADO]]="RECEBIDO","LIQUIDADO",IF(O689="LIQUIDADO","LIQUIDADO",IF(I689&lt;$I$5,"VENCIDO","A VENCER")))</f>
        <v>A VENCER</v>
      </c>
      <c r="N689" s="253">
        <f ca="1">IF(Tabela4[[#This Row],[STATUS]]="LIQUIDADO","",Tabela4[[#This Row],[VCTO]]-$I$5)</f>
        <v>20</v>
      </c>
      <c r="O689" s="247"/>
      <c r="P689" s="248"/>
      <c r="Q689" s="247"/>
      <c r="R689" s="247"/>
      <c r="S689" s="247"/>
      <c r="T689" s="247"/>
      <c r="U689" s="247"/>
      <c r="V689" s="5"/>
    </row>
    <row r="690" spans="1:22">
      <c r="A690" s="247" t="s">
        <v>0</v>
      </c>
      <c r="B690" s="248">
        <v>46072</v>
      </c>
      <c r="C690" s="11" t="s">
        <v>41</v>
      </c>
      <c r="D690" s="247">
        <v>401</v>
      </c>
      <c r="E690" s="35" t="s">
        <v>92</v>
      </c>
      <c r="F690" s="26" t="s">
        <v>267</v>
      </c>
      <c r="G690" s="249">
        <v>20891953000102</v>
      </c>
      <c r="H690" s="250">
        <v>5962</v>
      </c>
      <c r="I690" s="251">
        <v>46125</v>
      </c>
      <c r="J690" s="252" t="s">
        <v>91</v>
      </c>
      <c r="K690" s="247" t="s">
        <v>77</v>
      </c>
      <c r="L690" s="248">
        <v>46073</v>
      </c>
      <c r="M690" s="247" t="str">
        <f ca="1">IF(Tabela4[[#This Row],[RECOMPRADO]]="RECEBIDO","LIQUIDADO",IF(O690="LIQUIDADO","LIQUIDADO",IF(I690&lt;$I$5,"VENCIDO","A VENCER")))</f>
        <v>A VENCER</v>
      </c>
      <c r="N690" s="253">
        <f ca="1">IF(Tabela4[[#This Row],[STATUS]]="LIQUIDADO","",Tabela4[[#This Row],[VCTO]]-$I$5)</f>
        <v>27</v>
      </c>
      <c r="O690" s="247"/>
      <c r="P690" s="248"/>
      <c r="Q690" s="247"/>
      <c r="R690" s="247"/>
      <c r="S690" s="247"/>
      <c r="T690" s="247"/>
      <c r="U690" s="247"/>
      <c r="V690" s="5"/>
    </row>
    <row r="691" spans="1:22">
      <c r="A691" s="255" t="s">
        <v>0</v>
      </c>
      <c r="B691" s="256">
        <v>46072</v>
      </c>
      <c r="C691" s="6" t="s">
        <v>41</v>
      </c>
      <c r="D691" s="255">
        <v>401</v>
      </c>
      <c r="E691" s="10" t="s">
        <v>95</v>
      </c>
      <c r="F691" s="26" t="s">
        <v>267</v>
      </c>
      <c r="G691" s="249">
        <v>20891953000102</v>
      </c>
      <c r="H691" s="258">
        <v>5962</v>
      </c>
      <c r="I691" s="259">
        <v>46155</v>
      </c>
      <c r="J691" s="252" t="s">
        <v>91</v>
      </c>
      <c r="K691" s="247" t="s">
        <v>77</v>
      </c>
      <c r="L691" s="248">
        <v>46073</v>
      </c>
      <c r="M691" s="255" t="str">
        <f ca="1">IF(Tabela4[[#This Row],[RECOMPRADO]]="RECEBIDO","LIQUIDADO",IF(O691="LIQUIDADO","LIQUIDADO",IF(I691&lt;$I$5,"VENCIDO","A VENCER")))</f>
        <v>A VENCER</v>
      </c>
      <c r="N691" s="261">
        <f ca="1">IF(Tabela4[[#This Row],[STATUS]]="LIQUIDADO","",Tabela4[[#This Row],[VCTO]]-$I$5)</f>
        <v>57</v>
      </c>
      <c r="O691" s="255"/>
      <c r="P691" s="256"/>
      <c r="Q691" s="255"/>
      <c r="R691" s="255"/>
      <c r="S691" s="255"/>
      <c r="T691" s="255"/>
      <c r="U691" s="255"/>
      <c r="V691" s="5"/>
    </row>
    <row r="692" spans="1:22">
      <c r="A692" s="247" t="s">
        <v>0</v>
      </c>
      <c r="B692" s="248">
        <v>46072</v>
      </c>
      <c r="C692" s="11" t="s">
        <v>41</v>
      </c>
      <c r="D692" s="247">
        <v>401</v>
      </c>
      <c r="E692" s="35" t="s">
        <v>96</v>
      </c>
      <c r="F692" s="26" t="s">
        <v>267</v>
      </c>
      <c r="G692" s="249">
        <v>20891953000102</v>
      </c>
      <c r="H692" s="258">
        <v>5962</v>
      </c>
      <c r="I692" s="251">
        <v>46185</v>
      </c>
      <c r="J692" s="252" t="s">
        <v>91</v>
      </c>
      <c r="K692" s="247" t="s">
        <v>77</v>
      </c>
      <c r="L692" s="248">
        <v>46073</v>
      </c>
      <c r="M692" s="247" t="str">
        <f ca="1">IF(Tabela4[[#This Row],[RECOMPRADO]]="RECEBIDO","LIQUIDADO",IF(O692="LIQUIDADO","LIQUIDADO",IF(I692&lt;$I$5,"VENCIDO","A VENCER")))</f>
        <v>A VENCER</v>
      </c>
      <c r="N692" s="253">
        <f ca="1">IF(Tabela4[[#This Row],[STATUS]]="LIQUIDADO","",Tabela4[[#This Row],[VCTO]]-$I$5)</f>
        <v>87</v>
      </c>
      <c r="O692" s="247"/>
      <c r="P692" s="248"/>
      <c r="Q692" s="247"/>
      <c r="R692" s="247"/>
      <c r="S692" s="247"/>
      <c r="T692" s="247"/>
      <c r="U692" s="247"/>
      <c r="V692" s="5"/>
    </row>
    <row r="693" spans="1:22">
      <c r="A693" s="255" t="s">
        <v>0</v>
      </c>
      <c r="B693" s="256">
        <v>46072</v>
      </c>
      <c r="C693" s="6" t="s">
        <v>43</v>
      </c>
      <c r="D693" s="247">
        <v>401</v>
      </c>
      <c r="E693" s="10" t="s">
        <v>92</v>
      </c>
      <c r="F693" s="26" t="s">
        <v>267</v>
      </c>
      <c r="G693" s="249">
        <v>20891953000102</v>
      </c>
      <c r="H693" s="258">
        <v>5962</v>
      </c>
      <c r="I693" s="259">
        <v>46125</v>
      </c>
      <c r="J693" s="252" t="s">
        <v>91</v>
      </c>
      <c r="K693" s="247" t="s">
        <v>77</v>
      </c>
      <c r="L693" s="248">
        <v>46073</v>
      </c>
      <c r="M693" s="255" t="str">
        <f ca="1">IF(Tabela4[[#This Row],[RECOMPRADO]]="RECEBIDO","LIQUIDADO",IF(O693="LIQUIDADO","LIQUIDADO",IF(I693&lt;$I$5,"VENCIDO","A VENCER")))</f>
        <v>A VENCER</v>
      </c>
      <c r="N693" s="261">
        <f ca="1">IF(Tabela4[[#This Row],[STATUS]]="LIQUIDADO","",Tabela4[[#This Row],[VCTO]]-$I$5)</f>
        <v>27</v>
      </c>
      <c r="O693" s="255"/>
      <c r="P693" s="256"/>
      <c r="Q693" s="255"/>
      <c r="R693" s="255"/>
      <c r="S693" s="255"/>
      <c r="T693" s="255"/>
      <c r="U693" s="255"/>
      <c r="V693" s="5"/>
    </row>
    <row r="694" spans="1:22">
      <c r="A694" s="247" t="s">
        <v>0</v>
      </c>
      <c r="B694" s="248">
        <v>46072</v>
      </c>
      <c r="C694" s="11" t="s">
        <v>43</v>
      </c>
      <c r="D694" s="247">
        <v>401</v>
      </c>
      <c r="E694" s="35" t="s">
        <v>95</v>
      </c>
      <c r="F694" s="26" t="s">
        <v>267</v>
      </c>
      <c r="G694" s="249">
        <v>20891953000102</v>
      </c>
      <c r="H694" s="258">
        <v>5962</v>
      </c>
      <c r="I694" s="251">
        <v>46155</v>
      </c>
      <c r="J694" s="252" t="s">
        <v>91</v>
      </c>
      <c r="K694" s="247" t="s">
        <v>77</v>
      </c>
      <c r="L694" s="248">
        <v>46073</v>
      </c>
      <c r="M694" s="247" t="str">
        <f ca="1">IF(Tabela4[[#This Row],[RECOMPRADO]]="RECEBIDO","LIQUIDADO",IF(O694="LIQUIDADO","LIQUIDADO",IF(I694&lt;$I$5,"VENCIDO","A VENCER")))</f>
        <v>A VENCER</v>
      </c>
      <c r="N694" s="253">
        <f ca="1">IF(Tabela4[[#This Row],[STATUS]]="LIQUIDADO","",Tabela4[[#This Row],[VCTO]]-$I$5)</f>
        <v>57</v>
      </c>
      <c r="O694" s="247"/>
      <c r="P694" s="248"/>
      <c r="Q694" s="247"/>
      <c r="R694" s="247"/>
      <c r="S694" s="247"/>
      <c r="T694" s="247"/>
      <c r="U694" s="247"/>
      <c r="V694" s="5"/>
    </row>
    <row r="695" spans="1:22">
      <c r="A695" s="255" t="s">
        <v>0</v>
      </c>
      <c r="B695" s="256">
        <v>46072</v>
      </c>
      <c r="C695" s="6" t="s">
        <v>43</v>
      </c>
      <c r="D695" s="255">
        <v>401</v>
      </c>
      <c r="E695" s="10" t="s">
        <v>96</v>
      </c>
      <c r="F695" s="26" t="s">
        <v>267</v>
      </c>
      <c r="G695" s="249">
        <v>20891953000102</v>
      </c>
      <c r="H695" s="258">
        <v>5962</v>
      </c>
      <c r="I695" s="259">
        <v>46185</v>
      </c>
      <c r="J695" s="252" t="s">
        <v>91</v>
      </c>
      <c r="K695" s="247" t="s">
        <v>77</v>
      </c>
      <c r="L695" s="248">
        <v>46073</v>
      </c>
      <c r="M695" s="255" t="str">
        <f ca="1">IF(Tabela4[[#This Row],[RECOMPRADO]]="RECEBIDO","LIQUIDADO",IF(O695="LIQUIDADO","LIQUIDADO",IF(I695&lt;$I$5,"VENCIDO","A VENCER")))</f>
        <v>A VENCER</v>
      </c>
      <c r="N695" s="261">
        <f ca="1">IF(Tabela4[[#This Row],[STATUS]]="LIQUIDADO","",Tabela4[[#This Row],[VCTO]]-$I$5)</f>
        <v>87</v>
      </c>
      <c r="O695" s="255"/>
      <c r="P695" s="256"/>
      <c r="Q695" s="255"/>
      <c r="R695" s="255"/>
      <c r="S695" s="255"/>
      <c r="T695" s="255"/>
      <c r="U695" s="255"/>
      <c r="V695" s="5"/>
    </row>
    <row r="696" spans="1:22">
      <c r="A696" s="255" t="s">
        <v>0</v>
      </c>
      <c r="B696" s="256">
        <v>46072</v>
      </c>
      <c r="C696" s="6" t="s">
        <v>41</v>
      </c>
      <c r="D696" s="255">
        <v>400</v>
      </c>
      <c r="E696" s="10" t="s">
        <v>92</v>
      </c>
      <c r="F696" s="26" t="s">
        <v>267</v>
      </c>
      <c r="G696" s="249">
        <v>20891953000102</v>
      </c>
      <c r="H696" s="258">
        <v>2682</v>
      </c>
      <c r="I696" s="259">
        <v>46140</v>
      </c>
      <c r="J696" s="252" t="s">
        <v>91</v>
      </c>
      <c r="K696" s="247" t="s">
        <v>77</v>
      </c>
      <c r="L696" s="256">
        <v>46073</v>
      </c>
      <c r="M696" s="255" t="str">
        <f ca="1">IF(Tabela4[[#This Row],[RECOMPRADO]]="RECEBIDO","LIQUIDADO",IF(O696="LIQUIDADO","LIQUIDADO",IF(I696&lt;$I$5,"VENCIDO","A VENCER")))</f>
        <v>A VENCER</v>
      </c>
      <c r="N696" s="261">
        <f ca="1">IF(Tabela4[[#This Row],[STATUS]]="LIQUIDADO","",Tabela4[[#This Row],[VCTO]]-$I$5)</f>
        <v>42</v>
      </c>
      <c r="O696" s="255"/>
      <c r="P696" s="256"/>
      <c r="Q696" s="255"/>
      <c r="R696" s="255"/>
      <c r="S696" s="255"/>
      <c r="T696" s="255"/>
      <c r="U696" s="255"/>
      <c r="V696" s="5"/>
    </row>
    <row r="697" spans="1:22">
      <c r="A697" s="255" t="s">
        <v>0</v>
      </c>
      <c r="B697" s="256">
        <v>46072</v>
      </c>
      <c r="C697" s="6" t="s">
        <v>43</v>
      </c>
      <c r="D697" s="255">
        <v>400</v>
      </c>
      <c r="E697" s="10" t="s">
        <v>92</v>
      </c>
      <c r="F697" s="26" t="s">
        <v>267</v>
      </c>
      <c r="G697" s="249">
        <v>20891953000102</v>
      </c>
      <c r="H697" s="258">
        <v>2682</v>
      </c>
      <c r="I697" s="259">
        <v>46140</v>
      </c>
      <c r="J697" s="252" t="s">
        <v>91</v>
      </c>
      <c r="K697" s="247" t="s">
        <v>77</v>
      </c>
      <c r="L697" s="256">
        <v>46073</v>
      </c>
      <c r="M697" s="255" t="str">
        <f ca="1">IF(Tabela4[[#This Row],[RECOMPRADO]]="RECEBIDO","LIQUIDADO",IF(O697="LIQUIDADO","LIQUIDADO",IF(I697&lt;$I$5,"VENCIDO","A VENCER")))</f>
        <v>A VENCER</v>
      </c>
      <c r="N697" s="261">
        <f ca="1">IF(Tabela4[[#This Row],[STATUS]]="LIQUIDADO","",Tabela4[[#This Row],[VCTO]]-$I$5)</f>
        <v>42</v>
      </c>
      <c r="O697" s="255"/>
      <c r="P697" s="256"/>
      <c r="Q697" s="255"/>
      <c r="R697" s="255"/>
      <c r="S697" s="255"/>
      <c r="T697" s="255"/>
      <c r="U697" s="255"/>
      <c r="V697" s="5"/>
    </row>
    <row r="698" spans="1:22">
      <c r="A698" s="247" t="s">
        <v>0</v>
      </c>
      <c r="B698" s="248">
        <v>46072</v>
      </c>
      <c r="C698" s="11" t="s">
        <v>41</v>
      </c>
      <c r="D698" s="255">
        <v>399</v>
      </c>
      <c r="E698" s="35" t="s">
        <v>92</v>
      </c>
      <c r="F698" s="26" t="s">
        <v>267</v>
      </c>
      <c r="G698" s="249">
        <v>20891953000102</v>
      </c>
      <c r="H698" s="258">
        <v>3741.5</v>
      </c>
      <c r="I698" s="259">
        <v>46140</v>
      </c>
      <c r="J698" s="252" t="s">
        <v>91</v>
      </c>
      <c r="K698" s="247" t="s">
        <v>77</v>
      </c>
      <c r="L698" s="248">
        <v>46073</v>
      </c>
      <c r="M698" s="247" t="str">
        <f ca="1">IF(Tabela4[[#This Row],[RECOMPRADO]]="RECEBIDO","LIQUIDADO",IF(O698="LIQUIDADO","LIQUIDADO",IF(I698&lt;$I$5,"VENCIDO","A VENCER")))</f>
        <v>A VENCER</v>
      </c>
      <c r="N698" s="253">
        <f ca="1">IF(Tabela4[[#This Row],[STATUS]]="LIQUIDADO","",Tabela4[[#This Row],[VCTO]]-$I$5)</f>
        <v>42</v>
      </c>
      <c r="O698" s="247"/>
      <c r="P698" s="248"/>
      <c r="Q698" s="247"/>
      <c r="R698" s="247"/>
      <c r="S698" s="247"/>
      <c r="T698" s="247"/>
      <c r="U698" s="247"/>
      <c r="V698" s="5"/>
    </row>
    <row r="699" spans="1:22">
      <c r="A699" s="255" t="s">
        <v>0</v>
      </c>
      <c r="B699" s="256">
        <v>46072</v>
      </c>
      <c r="C699" s="6" t="s">
        <v>43</v>
      </c>
      <c r="D699" s="255">
        <v>399</v>
      </c>
      <c r="E699" s="10" t="s">
        <v>92</v>
      </c>
      <c r="F699" s="5" t="s">
        <v>267</v>
      </c>
      <c r="G699" s="257">
        <v>20891953000102</v>
      </c>
      <c r="H699" s="258">
        <v>3741.5</v>
      </c>
      <c r="I699" s="259">
        <v>46140</v>
      </c>
      <c r="J699" s="252" t="s">
        <v>91</v>
      </c>
      <c r="K699" s="247" t="s">
        <v>77</v>
      </c>
      <c r="L699" s="248">
        <v>46073</v>
      </c>
      <c r="M699" s="255" t="str">
        <f ca="1">IF(Tabela4[[#This Row],[RECOMPRADO]]="RECEBIDO","LIQUIDADO",IF(O699="LIQUIDADO","LIQUIDADO",IF(I699&lt;$I$5,"VENCIDO","A VENCER")))</f>
        <v>A VENCER</v>
      </c>
      <c r="N699" s="261">
        <f ca="1">IF(Tabela4[[#This Row],[STATUS]]="LIQUIDADO","",Tabela4[[#This Row],[VCTO]]-$I$5)</f>
        <v>42</v>
      </c>
      <c r="O699" s="255"/>
      <c r="P699" s="256"/>
      <c r="Q699" s="255"/>
      <c r="R699" s="255"/>
      <c r="S699" s="255"/>
      <c r="T699" s="255"/>
      <c r="U699" s="255"/>
      <c r="V699" s="5"/>
    </row>
    <row r="700" spans="1:22">
      <c r="A700" s="255" t="s">
        <v>0</v>
      </c>
      <c r="B700" s="256">
        <v>46072</v>
      </c>
      <c r="C700" s="6" t="s">
        <v>41</v>
      </c>
      <c r="D700" s="255">
        <v>398</v>
      </c>
      <c r="E700" s="10" t="s">
        <v>92</v>
      </c>
      <c r="F700" s="5" t="s">
        <v>267</v>
      </c>
      <c r="G700" s="257">
        <v>20891953000102</v>
      </c>
      <c r="H700" s="258">
        <v>5629.75</v>
      </c>
      <c r="I700" s="259">
        <v>46140</v>
      </c>
      <c r="J700" s="252" t="s">
        <v>91</v>
      </c>
      <c r="K700" s="247" t="s">
        <v>77</v>
      </c>
      <c r="L700" s="256">
        <v>46073</v>
      </c>
      <c r="M700" s="255" t="str">
        <f ca="1">IF(Tabela4[[#This Row],[RECOMPRADO]]="RECEBIDO","LIQUIDADO",IF(O700="LIQUIDADO","LIQUIDADO",IF(I700&lt;$I$5,"VENCIDO","A VENCER")))</f>
        <v>A VENCER</v>
      </c>
      <c r="N700" s="261">
        <f ca="1">IF(Tabela4[[#This Row],[STATUS]]="LIQUIDADO","",Tabela4[[#This Row],[VCTO]]-$I$5)</f>
        <v>42</v>
      </c>
      <c r="O700" s="255"/>
      <c r="P700" s="256"/>
      <c r="Q700" s="255"/>
      <c r="R700" s="255"/>
      <c r="S700" s="255"/>
      <c r="T700" s="255"/>
      <c r="U700" s="255"/>
      <c r="V700" s="5"/>
    </row>
    <row r="701" spans="1:22">
      <c r="A701" s="255" t="s">
        <v>0</v>
      </c>
      <c r="B701" s="256">
        <v>46072</v>
      </c>
      <c r="C701" s="6" t="s">
        <v>41</v>
      </c>
      <c r="D701" s="255">
        <v>398</v>
      </c>
      <c r="E701" s="10" t="s">
        <v>95</v>
      </c>
      <c r="F701" s="5" t="s">
        <v>267</v>
      </c>
      <c r="G701" s="257">
        <v>20891953000102</v>
      </c>
      <c r="H701" s="258">
        <v>5629.75</v>
      </c>
      <c r="I701" s="259">
        <v>46170</v>
      </c>
      <c r="J701" s="252" t="s">
        <v>91</v>
      </c>
      <c r="K701" s="247" t="s">
        <v>77</v>
      </c>
      <c r="L701" s="256">
        <v>46073</v>
      </c>
      <c r="M701" s="255" t="str">
        <f ca="1">IF(Tabela4[[#This Row],[RECOMPRADO]]="RECEBIDO","LIQUIDADO",IF(O701="LIQUIDADO","LIQUIDADO",IF(I701&lt;$I$5,"VENCIDO","A VENCER")))</f>
        <v>A VENCER</v>
      </c>
      <c r="N701" s="261">
        <f ca="1">IF(Tabela4[[#This Row],[STATUS]]="LIQUIDADO","",Tabela4[[#This Row],[VCTO]]-$I$5)</f>
        <v>72</v>
      </c>
      <c r="O701" s="255"/>
      <c r="P701" s="256"/>
      <c r="Q701" s="255"/>
      <c r="R701" s="255"/>
      <c r="S701" s="255"/>
      <c r="T701" s="255"/>
      <c r="U701" s="255"/>
      <c r="V701" s="5"/>
    </row>
    <row r="702" spans="1:22">
      <c r="A702" s="255" t="s">
        <v>0</v>
      </c>
      <c r="B702" s="256">
        <v>46072</v>
      </c>
      <c r="C702" s="6" t="s">
        <v>43</v>
      </c>
      <c r="D702" s="255">
        <v>398</v>
      </c>
      <c r="E702" s="10" t="s">
        <v>92</v>
      </c>
      <c r="F702" s="5" t="s">
        <v>267</v>
      </c>
      <c r="G702" s="257">
        <v>20891953000102</v>
      </c>
      <c r="H702" s="258">
        <v>5629.75</v>
      </c>
      <c r="I702" s="259">
        <v>46140</v>
      </c>
      <c r="J702" s="252" t="s">
        <v>91</v>
      </c>
      <c r="K702" s="247" t="s">
        <v>77</v>
      </c>
      <c r="L702" s="256">
        <v>46073</v>
      </c>
      <c r="M702" s="255" t="str">
        <f ca="1">IF(Tabela4[[#This Row],[RECOMPRADO]]="RECEBIDO","LIQUIDADO",IF(O702="LIQUIDADO","LIQUIDADO",IF(I702&lt;$I$5,"VENCIDO","A VENCER")))</f>
        <v>A VENCER</v>
      </c>
      <c r="N702" s="261">
        <f ca="1">IF(Tabela4[[#This Row],[STATUS]]="LIQUIDADO","",Tabela4[[#This Row],[VCTO]]-$I$5)</f>
        <v>42</v>
      </c>
      <c r="O702" s="255"/>
      <c r="P702" s="256"/>
      <c r="Q702" s="255"/>
      <c r="R702" s="255"/>
      <c r="S702" s="255"/>
      <c r="T702" s="255"/>
      <c r="U702" s="255"/>
      <c r="V702" s="5"/>
    </row>
    <row r="703" spans="1:22">
      <c r="A703" s="247" t="s">
        <v>0</v>
      </c>
      <c r="B703" s="248">
        <v>46072</v>
      </c>
      <c r="C703" s="11" t="s">
        <v>43</v>
      </c>
      <c r="D703" s="255">
        <v>398</v>
      </c>
      <c r="E703" s="35" t="s">
        <v>95</v>
      </c>
      <c r="F703" s="5" t="s">
        <v>267</v>
      </c>
      <c r="G703" s="257">
        <v>20891953000102</v>
      </c>
      <c r="H703" s="258">
        <v>5629.75</v>
      </c>
      <c r="I703" s="251">
        <v>46170</v>
      </c>
      <c r="J703" s="252" t="s">
        <v>91</v>
      </c>
      <c r="K703" s="247" t="s">
        <v>77</v>
      </c>
      <c r="L703" s="256">
        <v>46073</v>
      </c>
      <c r="M703" s="247" t="str">
        <f ca="1">IF(Tabela4[[#This Row],[RECOMPRADO]]="RECEBIDO","LIQUIDADO",IF(O703="LIQUIDADO","LIQUIDADO",IF(I703&lt;$I$5,"VENCIDO","A VENCER")))</f>
        <v>A VENCER</v>
      </c>
      <c r="N703" s="253">
        <f ca="1">IF(Tabela4[[#This Row],[STATUS]]="LIQUIDADO","",Tabela4[[#This Row],[VCTO]]-$I$5)</f>
        <v>72</v>
      </c>
      <c r="O703" s="247"/>
      <c r="P703" s="248"/>
      <c r="Q703" s="247"/>
      <c r="R703" s="247"/>
      <c r="S703" s="247"/>
      <c r="T703" s="255"/>
      <c r="U703" s="255"/>
      <c r="V703" s="5"/>
    </row>
    <row r="704" spans="1:22">
      <c r="A704" s="255" t="s">
        <v>0</v>
      </c>
      <c r="B704" s="256">
        <v>46072</v>
      </c>
      <c r="C704" s="256" t="s">
        <v>41</v>
      </c>
      <c r="D704" s="255">
        <v>397</v>
      </c>
      <c r="E704" s="10" t="s">
        <v>92</v>
      </c>
      <c r="F704" s="5" t="s">
        <v>267</v>
      </c>
      <c r="G704" s="257">
        <v>20891953000102</v>
      </c>
      <c r="H704" s="258">
        <v>10348.25</v>
      </c>
      <c r="I704" s="259">
        <v>46140</v>
      </c>
      <c r="J704" s="252" t="s">
        <v>91</v>
      </c>
      <c r="K704" s="247" t="s">
        <v>77</v>
      </c>
      <c r="L704" s="256">
        <v>46073</v>
      </c>
      <c r="M704" s="255" t="str">
        <f ca="1">IF(Tabela4[[#This Row],[RECOMPRADO]]="RECEBIDO","LIQUIDADO",IF(O704="LIQUIDADO","LIQUIDADO",IF(I704&lt;$I$5,"VENCIDO","A VENCER")))</f>
        <v>A VENCER</v>
      </c>
      <c r="N704" s="261">
        <f ca="1">IF(Tabela4[[#This Row],[STATUS]]="LIQUIDADO","",Tabela4[[#This Row],[VCTO]]-$I$5)</f>
        <v>42</v>
      </c>
      <c r="O704" s="255"/>
      <c r="P704" s="256"/>
      <c r="Q704" s="255"/>
      <c r="R704" s="255"/>
      <c r="S704" s="255"/>
      <c r="T704" s="5" t="s">
        <v>574</v>
      </c>
      <c r="U704" s="5"/>
      <c r="V704" s="5"/>
    </row>
    <row r="705" spans="1:22">
      <c r="A705" s="255" t="s">
        <v>0</v>
      </c>
      <c r="B705" s="256">
        <v>46072</v>
      </c>
      <c r="C705" s="256" t="s">
        <v>41</v>
      </c>
      <c r="D705" s="255">
        <v>397</v>
      </c>
      <c r="E705" s="10" t="s">
        <v>95</v>
      </c>
      <c r="F705" s="5" t="s">
        <v>267</v>
      </c>
      <c r="G705" s="257">
        <v>20891953000102</v>
      </c>
      <c r="H705" s="258">
        <v>10348.25</v>
      </c>
      <c r="I705" s="259">
        <v>46170</v>
      </c>
      <c r="J705" s="252" t="s">
        <v>91</v>
      </c>
      <c r="K705" s="247" t="s">
        <v>77</v>
      </c>
      <c r="L705" s="256">
        <v>46073</v>
      </c>
      <c r="M705" s="255" t="str">
        <f ca="1">IF(Tabela4[[#This Row],[RECOMPRADO]]="RECEBIDO","LIQUIDADO",IF(O705="LIQUIDADO","LIQUIDADO",IF(I705&lt;$I$5,"VENCIDO","A VENCER")))</f>
        <v>A VENCER</v>
      </c>
      <c r="N705" s="261">
        <f ca="1">IF(Tabela4[[#This Row],[STATUS]]="LIQUIDADO","",Tabela4[[#This Row],[VCTO]]-$I$5)</f>
        <v>72</v>
      </c>
      <c r="O705" s="255"/>
      <c r="P705" s="256"/>
      <c r="Q705" s="255"/>
      <c r="R705" s="255"/>
      <c r="S705" s="255"/>
      <c r="T705" s="5" t="s">
        <v>574</v>
      </c>
      <c r="U705" s="5"/>
      <c r="V705" s="5"/>
    </row>
    <row r="706" spans="1:22">
      <c r="A706" s="255" t="s">
        <v>0</v>
      </c>
      <c r="B706" s="256">
        <v>46072</v>
      </c>
      <c r="C706" s="256" t="s">
        <v>43</v>
      </c>
      <c r="D706" s="255">
        <v>397</v>
      </c>
      <c r="E706" s="10" t="s">
        <v>92</v>
      </c>
      <c r="F706" s="5" t="s">
        <v>267</v>
      </c>
      <c r="G706" s="257">
        <v>20891953000102</v>
      </c>
      <c r="H706" s="258">
        <v>10348.25</v>
      </c>
      <c r="I706" s="259">
        <v>46140</v>
      </c>
      <c r="J706" s="252" t="s">
        <v>91</v>
      </c>
      <c r="K706" s="247" t="s">
        <v>77</v>
      </c>
      <c r="L706" s="256">
        <v>46073</v>
      </c>
      <c r="M706" s="255" t="str">
        <f ca="1">IF(Tabela4[[#This Row],[RECOMPRADO]]="RECEBIDO","LIQUIDADO",IF(O706="LIQUIDADO","LIQUIDADO",IF(I706&lt;$I$5,"VENCIDO","A VENCER")))</f>
        <v>A VENCER</v>
      </c>
      <c r="N706" s="261">
        <f ca="1">IF(Tabela4[[#This Row],[STATUS]]="LIQUIDADO","",Tabela4[[#This Row],[VCTO]]-$I$5)</f>
        <v>42</v>
      </c>
      <c r="O706" s="255"/>
      <c r="P706" s="256"/>
      <c r="Q706" s="255"/>
      <c r="R706" s="255"/>
      <c r="S706" s="255"/>
      <c r="T706" s="5" t="s">
        <v>574</v>
      </c>
      <c r="U706" s="5"/>
      <c r="V706" s="5"/>
    </row>
    <row r="707" spans="1:22">
      <c r="A707" s="255" t="s">
        <v>0</v>
      </c>
      <c r="B707" s="256">
        <v>46072</v>
      </c>
      <c r="C707" s="256" t="s">
        <v>43</v>
      </c>
      <c r="D707" s="255">
        <v>397</v>
      </c>
      <c r="E707" s="10" t="s">
        <v>95</v>
      </c>
      <c r="F707" s="5" t="s">
        <v>267</v>
      </c>
      <c r="G707" s="257">
        <v>20891953000102</v>
      </c>
      <c r="H707" s="258">
        <v>10348.25</v>
      </c>
      <c r="I707" s="259">
        <v>46170</v>
      </c>
      <c r="J707" s="252" t="s">
        <v>91</v>
      </c>
      <c r="K707" s="247" t="s">
        <v>77</v>
      </c>
      <c r="L707" s="256">
        <v>46073</v>
      </c>
      <c r="M707" s="255" t="str">
        <f ca="1">IF(Tabela4[[#This Row],[RECOMPRADO]]="RECEBIDO","LIQUIDADO",IF(O707="LIQUIDADO","LIQUIDADO",IF(I707&lt;$I$5,"VENCIDO","A VENCER")))</f>
        <v>A VENCER</v>
      </c>
      <c r="N707" s="261">
        <f ca="1">IF(Tabela4[[#This Row],[STATUS]]="LIQUIDADO","",Tabela4[[#This Row],[VCTO]]-$I$5)</f>
        <v>72</v>
      </c>
      <c r="O707" s="255"/>
      <c r="P707" s="256"/>
      <c r="Q707" s="255"/>
      <c r="R707" s="255"/>
      <c r="S707" s="255"/>
      <c r="T707" s="5" t="s">
        <v>574</v>
      </c>
      <c r="U707" s="5"/>
      <c r="V707" s="5"/>
    </row>
    <row r="708" spans="1:22">
      <c r="A708" s="247" t="s">
        <v>0</v>
      </c>
      <c r="B708" s="248">
        <v>46072</v>
      </c>
      <c r="C708" s="11" t="s">
        <v>41</v>
      </c>
      <c r="D708" s="255">
        <v>396</v>
      </c>
      <c r="E708" s="35" t="s">
        <v>92</v>
      </c>
      <c r="F708" s="5" t="s">
        <v>510</v>
      </c>
      <c r="G708" s="257">
        <v>27747033000156</v>
      </c>
      <c r="H708" s="258">
        <v>1116.18</v>
      </c>
      <c r="I708" s="251">
        <v>46100</v>
      </c>
      <c r="J708" s="252" t="s">
        <v>91</v>
      </c>
      <c r="K708" s="247" t="s">
        <v>77</v>
      </c>
      <c r="L708" s="248">
        <v>46073</v>
      </c>
      <c r="M708" s="247" t="str">
        <f ca="1">IF(Tabela4[[#This Row],[RECOMPRADO]]="RECEBIDO","LIQUIDADO",IF(O708="LIQUIDADO","LIQUIDADO",IF(I708&lt;$I$5,"VENCIDO","A VENCER")))</f>
        <v>A VENCER</v>
      </c>
      <c r="N708" s="253">
        <f ca="1">IF(Tabela4[[#This Row],[STATUS]]="LIQUIDADO","",Tabela4[[#This Row],[VCTO]]-$I$5)</f>
        <v>2</v>
      </c>
      <c r="O708" s="247"/>
      <c r="P708" s="248"/>
      <c r="Q708" s="247"/>
      <c r="R708" s="247"/>
      <c r="S708" s="247"/>
      <c r="T708" s="247"/>
      <c r="U708" s="247"/>
      <c r="V708" s="5"/>
    </row>
    <row r="709" spans="1:22">
      <c r="A709" s="255" t="s">
        <v>0</v>
      </c>
      <c r="B709" s="256">
        <v>46072</v>
      </c>
      <c r="C709" s="6" t="s">
        <v>41</v>
      </c>
      <c r="D709" s="255">
        <v>396</v>
      </c>
      <c r="E709" s="10" t="s">
        <v>95</v>
      </c>
      <c r="F709" s="5" t="s">
        <v>510</v>
      </c>
      <c r="G709" s="257">
        <v>27747033000156</v>
      </c>
      <c r="H709" s="258">
        <v>810</v>
      </c>
      <c r="I709" s="259">
        <v>46107</v>
      </c>
      <c r="J709" s="252" t="s">
        <v>91</v>
      </c>
      <c r="K709" s="247" t="s">
        <v>77</v>
      </c>
      <c r="L709" s="248">
        <v>46073</v>
      </c>
      <c r="M709" s="255" t="str">
        <f ca="1">IF(Tabela4[[#This Row],[RECOMPRADO]]="RECEBIDO","LIQUIDADO",IF(O709="LIQUIDADO","LIQUIDADO",IF(I709&lt;$I$5,"VENCIDO","A VENCER")))</f>
        <v>A VENCER</v>
      </c>
      <c r="N709" s="261">
        <f ca="1">IF(Tabela4[[#This Row],[STATUS]]="LIQUIDADO","",Tabela4[[#This Row],[VCTO]]-$I$5)</f>
        <v>9</v>
      </c>
      <c r="O709" s="255"/>
      <c r="P709" s="256"/>
      <c r="Q709" s="255"/>
      <c r="R709" s="255"/>
      <c r="S709" s="255"/>
      <c r="T709" s="255"/>
      <c r="U709" s="255"/>
      <c r="V709" s="5"/>
    </row>
    <row r="710" spans="1:22">
      <c r="A710" s="255" t="s">
        <v>0</v>
      </c>
      <c r="B710" s="256">
        <v>46072</v>
      </c>
      <c r="C710" s="6" t="s">
        <v>41</v>
      </c>
      <c r="D710" s="255">
        <v>396</v>
      </c>
      <c r="E710" s="10" t="s">
        <v>96</v>
      </c>
      <c r="F710" s="5" t="s">
        <v>510</v>
      </c>
      <c r="G710" s="257">
        <v>27747033000156</v>
      </c>
      <c r="H710" s="258">
        <v>810</v>
      </c>
      <c r="I710" s="259">
        <v>46114</v>
      </c>
      <c r="J710" s="252" t="s">
        <v>91</v>
      </c>
      <c r="K710" s="247" t="s">
        <v>77</v>
      </c>
      <c r="L710" s="248">
        <v>46073</v>
      </c>
      <c r="M710" s="255" t="str">
        <f ca="1">IF(Tabela4[[#This Row],[RECOMPRADO]]="RECEBIDO","LIQUIDADO",IF(O710="LIQUIDADO","LIQUIDADO",IF(I710&lt;$I$5,"VENCIDO","A VENCER")))</f>
        <v>A VENCER</v>
      </c>
      <c r="N710" s="261">
        <f ca="1">IF(Tabela4[[#This Row],[STATUS]]="LIQUIDADO","",Tabela4[[#This Row],[VCTO]]-$I$5)</f>
        <v>16</v>
      </c>
      <c r="O710" s="255"/>
      <c r="P710" s="256"/>
      <c r="Q710" s="255"/>
      <c r="R710" s="255"/>
      <c r="S710" s="255"/>
      <c r="T710" s="255"/>
      <c r="U710" s="255"/>
      <c r="V710" s="5"/>
    </row>
    <row r="711" spans="1:22">
      <c r="A711" s="247" t="s">
        <v>0</v>
      </c>
      <c r="B711" s="248">
        <v>46072</v>
      </c>
      <c r="C711" s="11" t="s">
        <v>41</v>
      </c>
      <c r="D711" s="255">
        <v>396</v>
      </c>
      <c r="E711" s="35" t="s">
        <v>97</v>
      </c>
      <c r="F711" s="5" t="s">
        <v>510</v>
      </c>
      <c r="G711" s="257">
        <v>27747033000156</v>
      </c>
      <c r="H711" s="258">
        <v>810</v>
      </c>
      <c r="I711" s="251">
        <v>46121</v>
      </c>
      <c r="J711" s="252" t="s">
        <v>91</v>
      </c>
      <c r="K711" s="247" t="s">
        <v>77</v>
      </c>
      <c r="L711" s="248">
        <v>46073</v>
      </c>
      <c r="M711" s="247" t="str">
        <f ca="1">IF(Tabela4[[#This Row],[RECOMPRADO]]="RECEBIDO","LIQUIDADO",IF(O711="LIQUIDADO","LIQUIDADO",IF(I711&lt;$I$5,"VENCIDO","A VENCER")))</f>
        <v>A VENCER</v>
      </c>
      <c r="N711" s="253">
        <f ca="1">IF(Tabela4[[#This Row],[STATUS]]="LIQUIDADO","",Tabela4[[#This Row],[VCTO]]-$I$5)</f>
        <v>23</v>
      </c>
      <c r="O711" s="247"/>
      <c r="P711" s="248"/>
      <c r="Q711" s="247"/>
      <c r="R711" s="247"/>
      <c r="S711" s="247"/>
      <c r="T711" s="247"/>
      <c r="U711" s="247"/>
      <c r="V711" s="5"/>
    </row>
    <row r="712" spans="1:22">
      <c r="A712" s="255" t="s">
        <v>0</v>
      </c>
      <c r="B712" s="256">
        <v>46072</v>
      </c>
      <c r="C712" s="6" t="s">
        <v>41</v>
      </c>
      <c r="D712" s="255">
        <v>396</v>
      </c>
      <c r="E712" s="10" t="s">
        <v>98</v>
      </c>
      <c r="F712" s="5" t="s">
        <v>510</v>
      </c>
      <c r="G712" s="257">
        <v>27747033000156</v>
      </c>
      <c r="H712" s="258">
        <v>810</v>
      </c>
      <c r="I712" s="259">
        <v>46128</v>
      </c>
      <c r="J712" s="252" t="s">
        <v>91</v>
      </c>
      <c r="K712" s="247" t="s">
        <v>77</v>
      </c>
      <c r="L712" s="248">
        <v>46073</v>
      </c>
      <c r="M712" s="255" t="str">
        <f ca="1">IF(Tabela4[[#This Row],[RECOMPRADO]]="RECEBIDO","LIQUIDADO",IF(O712="LIQUIDADO","LIQUIDADO",IF(I712&lt;$I$5,"VENCIDO","A VENCER")))</f>
        <v>A VENCER</v>
      </c>
      <c r="N712" s="261">
        <f ca="1">IF(Tabela4[[#This Row],[STATUS]]="LIQUIDADO","",Tabela4[[#This Row],[VCTO]]-$I$5)</f>
        <v>30</v>
      </c>
      <c r="O712" s="255"/>
      <c r="P712" s="256"/>
      <c r="Q712" s="255"/>
      <c r="R712" s="255"/>
      <c r="S712" s="255"/>
      <c r="T712" s="255"/>
      <c r="U712" s="255"/>
      <c r="V712" s="5"/>
    </row>
    <row r="713" spans="1:22">
      <c r="A713" s="255" t="s">
        <v>0</v>
      </c>
      <c r="B713" s="256">
        <v>46072</v>
      </c>
      <c r="C713" s="6" t="s">
        <v>43</v>
      </c>
      <c r="D713" s="255">
        <v>396</v>
      </c>
      <c r="E713" s="10" t="s">
        <v>92</v>
      </c>
      <c r="F713" s="5" t="s">
        <v>510</v>
      </c>
      <c r="G713" s="257">
        <v>27747033000156</v>
      </c>
      <c r="H713" s="258">
        <v>810</v>
      </c>
      <c r="I713" s="259">
        <v>46100</v>
      </c>
      <c r="J713" s="252" t="s">
        <v>91</v>
      </c>
      <c r="K713" s="247" t="s">
        <v>77</v>
      </c>
      <c r="L713" s="248">
        <v>46073</v>
      </c>
      <c r="M713" s="255" t="str">
        <f ca="1">IF(Tabela4[[#This Row],[RECOMPRADO]]="RECEBIDO","LIQUIDADO",IF(O713="LIQUIDADO","LIQUIDADO",IF(I713&lt;$I$5,"VENCIDO","A VENCER")))</f>
        <v>A VENCER</v>
      </c>
      <c r="N713" s="261">
        <f ca="1">IF(Tabela4[[#This Row],[STATUS]]="LIQUIDADO","",Tabela4[[#This Row],[VCTO]]-$I$5)</f>
        <v>2</v>
      </c>
      <c r="O713" s="255"/>
      <c r="P713" s="256"/>
      <c r="Q713" s="255"/>
      <c r="R713" s="255"/>
      <c r="S713" s="255"/>
      <c r="T713" s="255"/>
      <c r="U713" s="255"/>
      <c r="V713" s="5"/>
    </row>
    <row r="714" spans="1:22">
      <c r="A714" s="247" t="s">
        <v>0</v>
      </c>
      <c r="B714" s="248">
        <v>46072</v>
      </c>
      <c r="C714" s="11" t="s">
        <v>43</v>
      </c>
      <c r="D714" s="255">
        <v>396</v>
      </c>
      <c r="E714" s="35" t="s">
        <v>95</v>
      </c>
      <c r="F714" s="5" t="s">
        <v>510</v>
      </c>
      <c r="G714" s="257">
        <v>27747033000156</v>
      </c>
      <c r="H714" s="258">
        <v>810</v>
      </c>
      <c r="I714" s="251">
        <v>46107</v>
      </c>
      <c r="J714" s="252" t="s">
        <v>91</v>
      </c>
      <c r="K714" s="247" t="s">
        <v>77</v>
      </c>
      <c r="L714" s="248">
        <v>46073</v>
      </c>
      <c r="M714" s="247" t="str">
        <f ca="1">IF(Tabela4[[#This Row],[RECOMPRADO]]="RECEBIDO","LIQUIDADO",IF(O714="LIQUIDADO","LIQUIDADO",IF(I714&lt;$I$5,"VENCIDO","A VENCER")))</f>
        <v>A VENCER</v>
      </c>
      <c r="N714" s="253">
        <f ca="1">IF(Tabela4[[#This Row],[STATUS]]="LIQUIDADO","",Tabela4[[#This Row],[VCTO]]-$I$5)</f>
        <v>9</v>
      </c>
      <c r="O714" s="247"/>
      <c r="P714" s="248"/>
      <c r="Q714" s="247"/>
      <c r="R714" s="247"/>
      <c r="S714" s="247"/>
      <c r="T714" s="247"/>
      <c r="U714" s="247"/>
      <c r="V714" s="5"/>
    </row>
    <row r="715" spans="1:22">
      <c r="A715" s="255" t="s">
        <v>0</v>
      </c>
      <c r="B715" s="256">
        <v>46072</v>
      </c>
      <c r="C715" s="6" t="s">
        <v>43</v>
      </c>
      <c r="D715" s="255">
        <v>396</v>
      </c>
      <c r="E715" s="10" t="s">
        <v>96</v>
      </c>
      <c r="F715" s="5" t="s">
        <v>510</v>
      </c>
      <c r="G715" s="257">
        <v>27747033000156</v>
      </c>
      <c r="H715" s="258">
        <v>810</v>
      </c>
      <c r="I715" s="259">
        <v>46114</v>
      </c>
      <c r="J715" s="252" t="s">
        <v>91</v>
      </c>
      <c r="K715" s="247" t="s">
        <v>77</v>
      </c>
      <c r="L715" s="248">
        <v>46073</v>
      </c>
      <c r="M715" s="255" t="str">
        <f ca="1">IF(Tabela4[[#This Row],[RECOMPRADO]]="RECEBIDO","LIQUIDADO",IF(O715="LIQUIDADO","LIQUIDADO",IF(I715&lt;$I$5,"VENCIDO","A VENCER")))</f>
        <v>A VENCER</v>
      </c>
      <c r="N715" s="261">
        <f ca="1">IF(Tabela4[[#This Row],[STATUS]]="LIQUIDADO","",Tabela4[[#This Row],[VCTO]]-$I$5)</f>
        <v>16</v>
      </c>
      <c r="O715" s="255"/>
      <c r="P715" s="256"/>
      <c r="Q715" s="255"/>
      <c r="R715" s="255"/>
      <c r="S715" s="255"/>
      <c r="T715" s="255"/>
      <c r="U715" s="255"/>
      <c r="V715" s="5"/>
    </row>
    <row r="716" spans="1:22">
      <c r="A716" s="255" t="s">
        <v>0</v>
      </c>
      <c r="B716" s="256">
        <v>46072</v>
      </c>
      <c r="C716" s="6" t="s">
        <v>43</v>
      </c>
      <c r="D716" s="255">
        <v>396</v>
      </c>
      <c r="E716" s="10" t="s">
        <v>97</v>
      </c>
      <c r="F716" s="5" t="s">
        <v>510</v>
      </c>
      <c r="G716" s="257">
        <v>27747033000156</v>
      </c>
      <c r="H716" s="258">
        <v>810</v>
      </c>
      <c r="I716" s="259">
        <v>46121</v>
      </c>
      <c r="J716" s="252" t="s">
        <v>91</v>
      </c>
      <c r="K716" s="247" t="s">
        <v>77</v>
      </c>
      <c r="L716" s="248">
        <v>46073</v>
      </c>
      <c r="M716" s="255" t="str">
        <f ca="1">IF(Tabela4[[#This Row],[RECOMPRADO]]="RECEBIDO","LIQUIDADO",IF(O716="LIQUIDADO","LIQUIDADO",IF(I716&lt;$I$5,"VENCIDO","A VENCER")))</f>
        <v>A VENCER</v>
      </c>
      <c r="N716" s="261">
        <f ca="1">IF(Tabela4[[#This Row],[STATUS]]="LIQUIDADO","",Tabela4[[#This Row],[VCTO]]-$I$5)</f>
        <v>23</v>
      </c>
      <c r="O716" s="255"/>
      <c r="P716" s="256"/>
      <c r="Q716" s="255"/>
      <c r="R716" s="255"/>
      <c r="S716" s="255"/>
      <c r="T716" s="255"/>
      <c r="U716" s="255"/>
      <c r="V716" s="5"/>
    </row>
    <row r="717" spans="1:22">
      <c r="A717" s="255" t="s">
        <v>0</v>
      </c>
      <c r="B717" s="256">
        <v>46072</v>
      </c>
      <c r="C717" s="6" t="s">
        <v>43</v>
      </c>
      <c r="D717" s="255">
        <v>396</v>
      </c>
      <c r="E717" s="10" t="s">
        <v>98</v>
      </c>
      <c r="F717" s="5" t="s">
        <v>510</v>
      </c>
      <c r="G717" s="257">
        <v>27747033000156</v>
      </c>
      <c r="H717" s="258">
        <v>810</v>
      </c>
      <c r="I717" s="259">
        <v>46128</v>
      </c>
      <c r="J717" s="252" t="s">
        <v>91</v>
      </c>
      <c r="K717" s="247" t="s">
        <v>77</v>
      </c>
      <c r="L717" s="248">
        <v>46073</v>
      </c>
      <c r="M717" s="255" t="str">
        <f ca="1">IF(Tabela4[[#This Row],[RECOMPRADO]]="RECEBIDO","LIQUIDADO",IF(O717="LIQUIDADO","LIQUIDADO",IF(I717&lt;$I$5,"VENCIDO","A VENCER")))</f>
        <v>A VENCER</v>
      </c>
      <c r="N717" s="261">
        <f ca="1">IF(Tabela4[[#This Row],[STATUS]]="LIQUIDADO","",Tabela4[[#This Row],[VCTO]]-$I$5)</f>
        <v>30</v>
      </c>
      <c r="O717" s="255"/>
      <c r="P717" s="256"/>
      <c r="Q717" s="255"/>
      <c r="R717" s="255"/>
      <c r="S717" s="255"/>
      <c r="T717" s="255"/>
      <c r="U717" s="255"/>
      <c r="V717" s="5"/>
    </row>
    <row r="718" spans="1:22">
      <c r="A718" s="247" t="s">
        <v>0</v>
      </c>
      <c r="B718" s="248">
        <v>46072</v>
      </c>
      <c r="C718" s="11" t="s">
        <v>41</v>
      </c>
      <c r="D718" s="255">
        <v>395</v>
      </c>
      <c r="E718" s="35" t="s">
        <v>92</v>
      </c>
      <c r="F718" s="5" t="s">
        <v>511</v>
      </c>
      <c r="G718" s="257">
        <v>14529239000168</v>
      </c>
      <c r="H718" s="258">
        <v>1110.5</v>
      </c>
      <c r="I718" s="251">
        <v>46108</v>
      </c>
      <c r="J718" s="252" t="s">
        <v>91</v>
      </c>
      <c r="K718" s="247" t="s">
        <v>77</v>
      </c>
      <c r="L718" s="248">
        <v>46073</v>
      </c>
      <c r="M718" s="247" t="str">
        <f ca="1">IF(Tabela4[[#This Row],[RECOMPRADO]]="RECEBIDO","LIQUIDADO",IF(O718="LIQUIDADO","LIQUIDADO",IF(I718&lt;$I$5,"VENCIDO","A VENCER")))</f>
        <v>A VENCER</v>
      </c>
      <c r="N718" s="253">
        <f ca="1">IF(Tabela4[[#This Row],[STATUS]]="LIQUIDADO","",Tabela4[[#This Row],[VCTO]]-$I$5)</f>
        <v>10</v>
      </c>
      <c r="O718" s="247"/>
      <c r="P718" s="248"/>
      <c r="Q718" s="247"/>
      <c r="R718" s="247"/>
      <c r="S718" s="247"/>
      <c r="T718" s="247"/>
      <c r="U718" s="247"/>
      <c r="V718" s="5"/>
    </row>
    <row r="719" spans="1:22">
      <c r="A719" s="255" t="s">
        <v>0</v>
      </c>
      <c r="B719" s="256">
        <v>46072</v>
      </c>
      <c r="C719" s="6" t="s">
        <v>41</v>
      </c>
      <c r="D719" s="255">
        <v>395</v>
      </c>
      <c r="E719" s="10" t="s">
        <v>95</v>
      </c>
      <c r="F719" s="5" t="s">
        <v>511</v>
      </c>
      <c r="G719" s="257">
        <v>14529239000168</v>
      </c>
      <c r="H719" s="258">
        <v>1110.5</v>
      </c>
      <c r="I719" s="259">
        <v>46115</v>
      </c>
      <c r="J719" s="252" t="s">
        <v>91</v>
      </c>
      <c r="K719" s="247" t="s">
        <v>77</v>
      </c>
      <c r="L719" s="248">
        <v>46073</v>
      </c>
      <c r="M719" s="255" t="str">
        <f ca="1">IF(Tabela4[[#This Row],[RECOMPRADO]]="RECEBIDO","LIQUIDADO",IF(O719="LIQUIDADO","LIQUIDADO",IF(I719&lt;$I$5,"VENCIDO","A VENCER")))</f>
        <v>A VENCER</v>
      </c>
      <c r="N719" s="261">
        <f ca="1">IF(Tabela4[[#This Row],[STATUS]]="LIQUIDADO","",Tabela4[[#This Row],[VCTO]]-$I$5)</f>
        <v>17</v>
      </c>
      <c r="O719" s="255"/>
      <c r="P719" s="256"/>
      <c r="Q719" s="255"/>
      <c r="R719" s="255"/>
      <c r="S719" s="255"/>
      <c r="T719" s="255"/>
      <c r="U719" s="255"/>
      <c r="V719" s="5"/>
    </row>
    <row r="720" spans="1:22">
      <c r="A720" s="255" t="s">
        <v>0</v>
      </c>
      <c r="B720" s="256">
        <v>46072</v>
      </c>
      <c r="C720" s="6" t="s">
        <v>41</v>
      </c>
      <c r="D720" s="255">
        <v>395</v>
      </c>
      <c r="E720" s="10" t="s">
        <v>96</v>
      </c>
      <c r="F720" s="5" t="s">
        <v>511</v>
      </c>
      <c r="G720" s="257">
        <v>14529239000168</v>
      </c>
      <c r="H720" s="258">
        <v>1110.5</v>
      </c>
      <c r="I720" s="259">
        <v>46122</v>
      </c>
      <c r="J720" s="252" t="s">
        <v>91</v>
      </c>
      <c r="K720" s="247" t="s">
        <v>77</v>
      </c>
      <c r="L720" s="248">
        <v>46073</v>
      </c>
      <c r="M720" s="255" t="str">
        <f ca="1">IF(Tabela4[[#This Row],[RECOMPRADO]]="RECEBIDO","LIQUIDADO",IF(O720="LIQUIDADO","LIQUIDADO",IF(I720&lt;$I$5,"VENCIDO","A VENCER")))</f>
        <v>A VENCER</v>
      </c>
      <c r="N720" s="261">
        <f ca="1">IF(Tabela4[[#This Row],[STATUS]]="LIQUIDADO","",Tabela4[[#This Row],[VCTO]]-$I$5)</f>
        <v>24</v>
      </c>
      <c r="O720" s="255"/>
      <c r="P720" s="256"/>
      <c r="Q720" s="255"/>
      <c r="R720" s="255"/>
      <c r="S720" s="255"/>
      <c r="T720" s="255"/>
      <c r="U720" s="255"/>
      <c r="V720" s="5"/>
    </row>
    <row r="721" spans="1:22">
      <c r="A721" s="255" t="s">
        <v>0</v>
      </c>
      <c r="B721" s="256">
        <v>46072</v>
      </c>
      <c r="C721" s="6" t="s">
        <v>43</v>
      </c>
      <c r="D721" s="255">
        <v>395</v>
      </c>
      <c r="E721" s="10" t="s">
        <v>92</v>
      </c>
      <c r="F721" s="5" t="s">
        <v>511</v>
      </c>
      <c r="G721" s="257">
        <v>14529239000168</v>
      </c>
      <c r="H721" s="258">
        <v>1110.5</v>
      </c>
      <c r="I721" s="259">
        <v>46108</v>
      </c>
      <c r="J721" s="252" t="s">
        <v>91</v>
      </c>
      <c r="K721" s="247" t="s">
        <v>77</v>
      </c>
      <c r="L721" s="248">
        <v>46073</v>
      </c>
      <c r="M721" s="255" t="str">
        <f ca="1">IF(Tabela4[[#This Row],[RECOMPRADO]]="RECEBIDO","LIQUIDADO",IF(O721="LIQUIDADO","LIQUIDADO",IF(I721&lt;$I$5,"VENCIDO","A VENCER")))</f>
        <v>A VENCER</v>
      </c>
      <c r="N721" s="261">
        <f ca="1">IF(Tabela4[[#This Row],[STATUS]]="LIQUIDADO","",Tabela4[[#This Row],[VCTO]]-$I$5)</f>
        <v>10</v>
      </c>
      <c r="O721" s="255"/>
      <c r="P721" s="256"/>
      <c r="Q721" s="255"/>
      <c r="R721" s="255"/>
      <c r="S721" s="255"/>
      <c r="T721" s="255"/>
      <c r="U721" s="255"/>
      <c r="V721" s="5"/>
    </row>
    <row r="722" spans="1:22">
      <c r="A722" s="247" t="s">
        <v>0</v>
      </c>
      <c r="B722" s="248">
        <v>46072</v>
      </c>
      <c r="C722" s="11" t="s">
        <v>43</v>
      </c>
      <c r="D722" s="255">
        <v>395</v>
      </c>
      <c r="E722" s="35" t="s">
        <v>95</v>
      </c>
      <c r="F722" s="5" t="s">
        <v>511</v>
      </c>
      <c r="G722" s="257">
        <v>14529239000168</v>
      </c>
      <c r="H722" s="258">
        <v>1110.5</v>
      </c>
      <c r="I722" s="251">
        <v>46115</v>
      </c>
      <c r="J722" s="252" t="s">
        <v>91</v>
      </c>
      <c r="K722" s="247" t="s">
        <v>77</v>
      </c>
      <c r="L722" s="248">
        <v>46073</v>
      </c>
      <c r="M722" s="247" t="str">
        <f ca="1">IF(Tabela4[[#This Row],[RECOMPRADO]]="RECEBIDO","LIQUIDADO",IF(O722="LIQUIDADO","LIQUIDADO",IF(I722&lt;$I$5,"VENCIDO","A VENCER")))</f>
        <v>A VENCER</v>
      </c>
      <c r="N722" s="253">
        <f ca="1">IF(Tabela4[[#This Row],[STATUS]]="LIQUIDADO","",Tabela4[[#This Row],[VCTO]]-$I$5)</f>
        <v>17</v>
      </c>
      <c r="O722" s="247"/>
      <c r="P722" s="248"/>
      <c r="Q722" s="247"/>
      <c r="R722" s="247"/>
      <c r="S722" s="247"/>
      <c r="T722" s="247"/>
      <c r="U722" s="247"/>
      <c r="V722" s="5"/>
    </row>
    <row r="723" spans="1:22">
      <c r="A723" s="255" t="s">
        <v>0</v>
      </c>
      <c r="B723" s="256">
        <v>46072</v>
      </c>
      <c r="C723" s="6" t="s">
        <v>43</v>
      </c>
      <c r="D723" s="255">
        <v>395</v>
      </c>
      <c r="E723" s="10" t="s">
        <v>96</v>
      </c>
      <c r="F723" s="5" t="s">
        <v>511</v>
      </c>
      <c r="G723" s="257">
        <v>14529239000168</v>
      </c>
      <c r="H723" s="258">
        <v>1110.5</v>
      </c>
      <c r="I723" s="259">
        <v>46122</v>
      </c>
      <c r="J723" s="252" t="s">
        <v>91</v>
      </c>
      <c r="K723" s="247" t="s">
        <v>77</v>
      </c>
      <c r="L723" s="248">
        <v>46073</v>
      </c>
      <c r="M723" s="255" t="str">
        <f ca="1">IF(Tabela4[[#This Row],[RECOMPRADO]]="RECEBIDO","LIQUIDADO",IF(O723="LIQUIDADO","LIQUIDADO",IF(I723&lt;$I$5,"VENCIDO","A VENCER")))</f>
        <v>A VENCER</v>
      </c>
      <c r="N723" s="261">
        <f ca="1">IF(Tabela4[[#This Row],[STATUS]]="LIQUIDADO","",Tabela4[[#This Row],[VCTO]]-$I$5)</f>
        <v>24</v>
      </c>
      <c r="O723" s="255"/>
      <c r="P723" s="256"/>
      <c r="Q723" s="255"/>
      <c r="R723" s="255"/>
      <c r="S723" s="255"/>
      <c r="T723" s="255"/>
      <c r="U723" s="255"/>
      <c r="V723" s="5"/>
    </row>
    <row r="724" spans="1:22">
      <c r="A724" s="255" t="s">
        <v>0</v>
      </c>
      <c r="B724" s="256">
        <v>46072</v>
      </c>
      <c r="C724" s="6" t="s">
        <v>41</v>
      </c>
      <c r="D724" s="255">
        <v>391</v>
      </c>
      <c r="E724" s="10" t="s">
        <v>92</v>
      </c>
      <c r="F724" s="5" t="s">
        <v>19</v>
      </c>
      <c r="G724" s="257">
        <v>21826291000141</v>
      </c>
      <c r="H724" s="258">
        <v>1200</v>
      </c>
      <c r="I724" s="259">
        <v>46097</v>
      </c>
      <c r="J724" s="252" t="s">
        <v>91</v>
      </c>
      <c r="K724" s="247" t="s">
        <v>77</v>
      </c>
      <c r="L724" s="256">
        <v>46073</v>
      </c>
      <c r="M724" s="255" t="str">
        <f ca="1">IF(Tabela4[[#This Row],[RECOMPRADO]]="RECEBIDO","LIQUIDADO",IF(O724="LIQUIDADO","LIQUIDADO",IF(I724&lt;$I$5,"VENCIDO","A VENCER")))</f>
        <v>VENCIDO</v>
      </c>
      <c r="N724" s="261">
        <f ca="1">IF(Tabela4[[#This Row],[STATUS]]="LIQUIDADO","",Tabela4[[#This Row],[VCTO]]-$I$5)</f>
        <v>-1</v>
      </c>
      <c r="O724" s="255"/>
      <c r="P724" s="256"/>
      <c r="Q724" s="255"/>
      <c r="R724" s="255"/>
      <c r="S724" s="255"/>
      <c r="T724" s="255"/>
      <c r="U724" s="255"/>
      <c r="V724" s="5"/>
    </row>
    <row r="725" spans="1:22">
      <c r="A725" s="255" t="s">
        <v>0</v>
      </c>
      <c r="B725" s="256">
        <v>46072</v>
      </c>
      <c r="C725" s="6" t="s">
        <v>41</v>
      </c>
      <c r="D725" s="255">
        <v>391</v>
      </c>
      <c r="E725" s="10" t="s">
        <v>95</v>
      </c>
      <c r="F725" s="5" t="s">
        <v>19</v>
      </c>
      <c r="G725" s="257">
        <v>21826291000141</v>
      </c>
      <c r="H725" s="258">
        <v>1200</v>
      </c>
      <c r="I725" s="259">
        <v>46104</v>
      </c>
      <c r="J725" s="252" t="s">
        <v>91</v>
      </c>
      <c r="K725" s="247" t="s">
        <v>77</v>
      </c>
      <c r="L725" s="256">
        <v>46073</v>
      </c>
      <c r="M725" s="255" t="str">
        <f ca="1">IF(Tabela4[[#This Row],[RECOMPRADO]]="RECEBIDO","LIQUIDADO",IF(O725="LIQUIDADO","LIQUIDADO",IF(I725&lt;$I$5,"VENCIDO","A VENCER")))</f>
        <v>A VENCER</v>
      </c>
      <c r="N725" s="261">
        <f ca="1">IF(Tabela4[[#This Row],[STATUS]]="LIQUIDADO","",Tabela4[[#This Row],[VCTO]]-$I$5)</f>
        <v>6</v>
      </c>
      <c r="O725" s="255"/>
      <c r="P725" s="256"/>
      <c r="Q725" s="255"/>
      <c r="R725" s="255"/>
      <c r="S725" s="255"/>
      <c r="T725" s="255"/>
      <c r="U725" s="255"/>
      <c r="V725" s="5"/>
    </row>
    <row r="726" spans="1:22">
      <c r="A726" s="247" t="s">
        <v>0</v>
      </c>
      <c r="B726" s="248">
        <v>46072</v>
      </c>
      <c r="C726" s="11" t="s">
        <v>41</v>
      </c>
      <c r="D726" s="255">
        <v>391</v>
      </c>
      <c r="E726" s="35" t="s">
        <v>96</v>
      </c>
      <c r="F726" s="5" t="s">
        <v>19</v>
      </c>
      <c r="G726" s="257">
        <v>21826291000141</v>
      </c>
      <c r="H726" s="258">
        <v>1200</v>
      </c>
      <c r="I726" s="251">
        <v>46111</v>
      </c>
      <c r="J726" s="252" t="s">
        <v>91</v>
      </c>
      <c r="K726" s="247" t="s">
        <v>77</v>
      </c>
      <c r="L726" s="256">
        <v>46073</v>
      </c>
      <c r="M726" s="247" t="str">
        <f ca="1">IF(Tabela4[[#This Row],[RECOMPRADO]]="RECEBIDO","LIQUIDADO",IF(O726="LIQUIDADO","LIQUIDADO",IF(I726&lt;$I$5,"VENCIDO","A VENCER")))</f>
        <v>A VENCER</v>
      </c>
      <c r="N726" s="253">
        <f ca="1">IF(Tabela4[[#This Row],[STATUS]]="LIQUIDADO","",Tabela4[[#This Row],[VCTO]]-$I$5)</f>
        <v>13</v>
      </c>
      <c r="O726" s="247"/>
      <c r="P726" s="248"/>
      <c r="Q726" s="247"/>
      <c r="R726" s="247"/>
      <c r="S726" s="247"/>
      <c r="T726" s="247"/>
      <c r="U726" s="247"/>
      <c r="V726" s="5"/>
    </row>
    <row r="727" spans="1:22">
      <c r="A727" s="255" t="s">
        <v>0</v>
      </c>
      <c r="B727" s="256">
        <v>46072</v>
      </c>
      <c r="C727" s="6" t="s">
        <v>41</v>
      </c>
      <c r="D727" s="255">
        <v>391</v>
      </c>
      <c r="E727" s="10" t="s">
        <v>97</v>
      </c>
      <c r="F727" s="5" t="s">
        <v>19</v>
      </c>
      <c r="G727" s="257">
        <v>21826291000141</v>
      </c>
      <c r="H727" s="258">
        <v>1200</v>
      </c>
      <c r="I727" s="259">
        <v>46118</v>
      </c>
      <c r="J727" s="252" t="s">
        <v>91</v>
      </c>
      <c r="K727" s="247" t="s">
        <v>77</v>
      </c>
      <c r="L727" s="256">
        <v>46073</v>
      </c>
      <c r="M727" s="255" t="str">
        <f ca="1">IF(Tabela4[[#This Row],[RECOMPRADO]]="RECEBIDO","LIQUIDADO",IF(O727="LIQUIDADO","LIQUIDADO",IF(I727&lt;$I$5,"VENCIDO","A VENCER")))</f>
        <v>A VENCER</v>
      </c>
      <c r="N727" s="261">
        <f ca="1">IF(Tabela4[[#This Row],[STATUS]]="LIQUIDADO","",Tabela4[[#This Row],[VCTO]]-$I$5)</f>
        <v>20</v>
      </c>
      <c r="O727" s="255"/>
      <c r="P727" s="256"/>
      <c r="Q727" s="255"/>
      <c r="R727" s="255"/>
      <c r="S727" s="255"/>
      <c r="T727" s="255"/>
      <c r="U727" s="255"/>
      <c r="V727" s="5"/>
    </row>
    <row r="728" spans="1:22">
      <c r="A728" s="255" t="s">
        <v>0</v>
      </c>
      <c r="B728" s="256">
        <v>46072</v>
      </c>
      <c r="C728" s="6" t="s">
        <v>43</v>
      </c>
      <c r="D728" s="255">
        <v>391</v>
      </c>
      <c r="E728" s="10" t="s">
        <v>92</v>
      </c>
      <c r="F728" s="5" t="s">
        <v>19</v>
      </c>
      <c r="G728" s="257">
        <v>21826291000141</v>
      </c>
      <c r="H728" s="258">
        <v>2800</v>
      </c>
      <c r="I728" s="259">
        <v>46097</v>
      </c>
      <c r="J728" s="252" t="s">
        <v>91</v>
      </c>
      <c r="K728" s="247" t="s">
        <v>77</v>
      </c>
      <c r="L728" s="256">
        <v>46073</v>
      </c>
      <c r="M728" s="255" t="str">
        <f ca="1">IF(Tabela4[[#This Row],[RECOMPRADO]]="RECEBIDO","LIQUIDADO",IF(O728="LIQUIDADO","LIQUIDADO",IF(I728&lt;$I$5,"VENCIDO","A VENCER")))</f>
        <v>VENCIDO</v>
      </c>
      <c r="N728" s="261">
        <f ca="1">IF(Tabela4[[#This Row],[STATUS]]="LIQUIDADO","",Tabela4[[#This Row],[VCTO]]-$I$5)</f>
        <v>-1</v>
      </c>
      <c r="O728" s="255"/>
      <c r="P728" s="256"/>
      <c r="Q728" s="255"/>
      <c r="R728" s="255"/>
      <c r="S728" s="255"/>
      <c r="T728" s="255"/>
      <c r="U728" s="255"/>
      <c r="V728" s="5"/>
    </row>
    <row r="729" spans="1:22">
      <c r="A729" s="255" t="s">
        <v>0</v>
      </c>
      <c r="B729" s="256">
        <v>46072</v>
      </c>
      <c r="C729" s="6" t="s">
        <v>43</v>
      </c>
      <c r="D729" s="255">
        <v>391</v>
      </c>
      <c r="E729" s="10" t="s">
        <v>95</v>
      </c>
      <c r="F729" s="5" t="s">
        <v>19</v>
      </c>
      <c r="G729" s="257">
        <v>21826291000141</v>
      </c>
      <c r="H729" s="258">
        <v>2800</v>
      </c>
      <c r="I729" s="259">
        <v>46104</v>
      </c>
      <c r="J729" s="252" t="s">
        <v>91</v>
      </c>
      <c r="K729" s="247" t="s">
        <v>77</v>
      </c>
      <c r="L729" s="256">
        <v>46073</v>
      </c>
      <c r="M729" s="255" t="str">
        <f ca="1">IF(Tabela4[[#This Row],[RECOMPRADO]]="RECEBIDO","LIQUIDADO",IF(O729="LIQUIDADO","LIQUIDADO",IF(I729&lt;$I$5,"VENCIDO","A VENCER")))</f>
        <v>A VENCER</v>
      </c>
      <c r="N729" s="261">
        <f ca="1">IF(Tabela4[[#This Row],[STATUS]]="LIQUIDADO","",Tabela4[[#This Row],[VCTO]]-$I$5)</f>
        <v>6</v>
      </c>
      <c r="O729" s="255"/>
      <c r="P729" s="256"/>
      <c r="Q729" s="255"/>
      <c r="R729" s="255"/>
      <c r="S729" s="255"/>
      <c r="T729" s="255"/>
      <c r="U729" s="255"/>
      <c r="V729" s="5"/>
    </row>
    <row r="730" spans="1:22">
      <c r="A730" s="247" t="s">
        <v>0</v>
      </c>
      <c r="B730" s="248">
        <v>46072</v>
      </c>
      <c r="C730" s="11" t="s">
        <v>43</v>
      </c>
      <c r="D730" s="255">
        <v>391</v>
      </c>
      <c r="E730" s="35" t="s">
        <v>96</v>
      </c>
      <c r="F730" s="5" t="s">
        <v>19</v>
      </c>
      <c r="G730" s="257">
        <v>21826291000141</v>
      </c>
      <c r="H730" s="258">
        <v>2800</v>
      </c>
      <c r="I730" s="251">
        <v>46111</v>
      </c>
      <c r="J730" s="252" t="s">
        <v>91</v>
      </c>
      <c r="K730" s="247" t="s">
        <v>77</v>
      </c>
      <c r="L730" s="256">
        <v>46073</v>
      </c>
      <c r="M730" s="247" t="str">
        <f ca="1">IF(Tabela4[[#This Row],[RECOMPRADO]]="RECEBIDO","LIQUIDADO",IF(O730="LIQUIDADO","LIQUIDADO",IF(I730&lt;$I$5,"VENCIDO","A VENCER")))</f>
        <v>A VENCER</v>
      </c>
      <c r="N730" s="253">
        <f ca="1">IF(Tabela4[[#This Row],[STATUS]]="LIQUIDADO","",Tabela4[[#This Row],[VCTO]]-$I$5)</f>
        <v>13</v>
      </c>
      <c r="O730" s="247"/>
      <c r="P730" s="248"/>
      <c r="Q730" s="247"/>
      <c r="R730" s="247"/>
      <c r="S730" s="247"/>
      <c r="T730" s="247"/>
      <c r="U730" s="247"/>
      <c r="V730" s="5"/>
    </row>
    <row r="731" spans="1:22">
      <c r="A731" s="255" t="s">
        <v>0</v>
      </c>
      <c r="B731" s="256">
        <v>46072</v>
      </c>
      <c r="C731" s="6" t="s">
        <v>43</v>
      </c>
      <c r="D731" s="255">
        <v>391</v>
      </c>
      <c r="E731" s="10" t="s">
        <v>97</v>
      </c>
      <c r="F731" s="5" t="s">
        <v>19</v>
      </c>
      <c r="G731" s="257">
        <v>21826291000141</v>
      </c>
      <c r="H731" s="258">
        <v>2800</v>
      </c>
      <c r="I731" s="259">
        <v>46118</v>
      </c>
      <c r="J731" s="252" t="s">
        <v>91</v>
      </c>
      <c r="K731" s="247" t="s">
        <v>77</v>
      </c>
      <c r="L731" s="256">
        <v>46073</v>
      </c>
      <c r="M731" s="255" t="str">
        <f ca="1">IF(Tabela4[[#This Row],[RECOMPRADO]]="RECEBIDO","LIQUIDADO",IF(O731="LIQUIDADO","LIQUIDADO",IF(I731&lt;$I$5,"VENCIDO","A VENCER")))</f>
        <v>A VENCER</v>
      </c>
      <c r="N731" s="261">
        <f ca="1">IF(Tabela4[[#This Row],[STATUS]]="LIQUIDADO","",Tabela4[[#This Row],[VCTO]]-$I$5)</f>
        <v>20</v>
      </c>
      <c r="O731" s="255"/>
      <c r="P731" s="256"/>
      <c r="Q731" s="255"/>
      <c r="R731" s="255"/>
      <c r="S731" s="255"/>
      <c r="T731" s="255"/>
      <c r="U731" s="255"/>
      <c r="V731" s="5"/>
    </row>
    <row r="732" spans="1:22">
      <c r="A732" s="247" t="s">
        <v>0</v>
      </c>
      <c r="B732" s="248">
        <v>46072</v>
      </c>
      <c r="C732" s="11" t="s">
        <v>41</v>
      </c>
      <c r="D732" s="255">
        <v>392</v>
      </c>
      <c r="E732" s="35" t="s">
        <v>92</v>
      </c>
      <c r="F732" s="5" t="s">
        <v>480</v>
      </c>
      <c r="G732" s="257">
        <v>20873972000106</v>
      </c>
      <c r="H732" s="250">
        <v>3281.38</v>
      </c>
      <c r="I732" s="251">
        <v>46107</v>
      </c>
      <c r="J732" s="252" t="s">
        <v>91</v>
      </c>
      <c r="K732" s="247" t="s">
        <v>77</v>
      </c>
      <c r="L732" s="248">
        <v>46073</v>
      </c>
      <c r="M732" s="247" t="str">
        <f ca="1">IF(Tabela4[[#This Row],[RECOMPRADO]]="RECEBIDO","LIQUIDADO",IF(O732="LIQUIDADO","LIQUIDADO",IF(I732&lt;$I$5,"VENCIDO","A VENCER")))</f>
        <v>A VENCER</v>
      </c>
      <c r="N732" s="253">
        <f ca="1">IF(Tabela4[[#This Row],[STATUS]]="LIQUIDADO","",Tabela4[[#This Row],[VCTO]]-$I$5)</f>
        <v>9</v>
      </c>
      <c r="O732" s="247"/>
      <c r="P732" s="248"/>
      <c r="Q732" s="247"/>
      <c r="R732" s="247"/>
      <c r="S732" s="247"/>
      <c r="T732" s="247"/>
      <c r="U732" s="247"/>
      <c r="V732" s="5"/>
    </row>
    <row r="733" spans="1:22">
      <c r="A733" s="255" t="s">
        <v>0</v>
      </c>
      <c r="B733" s="256">
        <v>46072</v>
      </c>
      <c r="C733" s="6" t="s">
        <v>41</v>
      </c>
      <c r="D733" s="255">
        <v>392</v>
      </c>
      <c r="E733" s="10" t="s">
        <v>95</v>
      </c>
      <c r="F733" s="5" t="s">
        <v>480</v>
      </c>
      <c r="G733" s="257">
        <v>20873972000106</v>
      </c>
      <c r="H733" s="258">
        <v>2147.5</v>
      </c>
      <c r="I733" s="259">
        <v>46114</v>
      </c>
      <c r="J733" s="252" t="s">
        <v>91</v>
      </c>
      <c r="K733" s="247" t="s">
        <v>77</v>
      </c>
      <c r="L733" s="248">
        <v>46073</v>
      </c>
      <c r="M733" s="255" t="str">
        <f ca="1">IF(Tabela4[[#This Row],[RECOMPRADO]]="RECEBIDO","LIQUIDADO",IF(O733="LIQUIDADO","LIQUIDADO",IF(I733&lt;$I$5,"VENCIDO","A VENCER")))</f>
        <v>A VENCER</v>
      </c>
      <c r="N733" s="261">
        <f ca="1">IF(Tabela4[[#This Row],[STATUS]]="LIQUIDADO","",Tabela4[[#This Row],[VCTO]]-$I$5)</f>
        <v>16</v>
      </c>
      <c r="O733" s="255"/>
      <c r="P733" s="256"/>
      <c r="Q733" s="255"/>
      <c r="R733" s="255"/>
      <c r="S733" s="255"/>
      <c r="T733" s="255"/>
      <c r="U733" s="255"/>
      <c r="V733" s="5"/>
    </row>
    <row r="734" spans="1:22">
      <c r="A734" s="247" t="s">
        <v>0</v>
      </c>
      <c r="B734" s="248">
        <v>46072</v>
      </c>
      <c r="C734" s="11" t="s">
        <v>41</v>
      </c>
      <c r="D734" s="255">
        <v>392</v>
      </c>
      <c r="E734" s="35" t="s">
        <v>96</v>
      </c>
      <c r="F734" s="5" t="s">
        <v>480</v>
      </c>
      <c r="G734" s="257">
        <v>20873972000106</v>
      </c>
      <c r="H734" s="258">
        <v>2147.5</v>
      </c>
      <c r="I734" s="251">
        <v>46121</v>
      </c>
      <c r="J734" s="252" t="s">
        <v>91</v>
      </c>
      <c r="K734" s="247" t="s">
        <v>77</v>
      </c>
      <c r="L734" s="248">
        <v>46073</v>
      </c>
      <c r="M734" s="247" t="str">
        <f ca="1">IF(Tabela4[[#This Row],[RECOMPRADO]]="RECEBIDO","LIQUIDADO",IF(O734="LIQUIDADO","LIQUIDADO",IF(I734&lt;$I$5,"VENCIDO","A VENCER")))</f>
        <v>A VENCER</v>
      </c>
      <c r="N734" s="253">
        <f ca="1">IF(Tabela4[[#This Row],[STATUS]]="LIQUIDADO","",Tabela4[[#This Row],[VCTO]]-$I$5)</f>
        <v>23</v>
      </c>
      <c r="O734" s="247"/>
      <c r="P734" s="248"/>
      <c r="Q734" s="247"/>
      <c r="R734" s="247"/>
      <c r="S734" s="247"/>
      <c r="T734" s="247"/>
      <c r="U734" s="247"/>
      <c r="V734" s="5"/>
    </row>
    <row r="735" spans="1:22">
      <c r="A735" s="247" t="s">
        <v>0</v>
      </c>
      <c r="B735" s="248">
        <v>46072</v>
      </c>
      <c r="C735" s="11" t="s">
        <v>41</v>
      </c>
      <c r="D735" s="247">
        <v>392</v>
      </c>
      <c r="E735" s="35" t="s">
        <v>97</v>
      </c>
      <c r="F735" s="26" t="s">
        <v>480</v>
      </c>
      <c r="G735" s="249">
        <v>20873972000106</v>
      </c>
      <c r="H735" s="250">
        <v>2147.5</v>
      </c>
      <c r="I735" s="251">
        <v>46128</v>
      </c>
      <c r="J735" s="252" t="s">
        <v>91</v>
      </c>
      <c r="K735" s="247" t="s">
        <v>77</v>
      </c>
      <c r="L735" s="248">
        <v>46073</v>
      </c>
      <c r="M735" s="247" t="str">
        <f ca="1">IF(Tabela4[[#This Row],[RECOMPRADO]]="RECEBIDO","LIQUIDADO",IF(O735="LIQUIDADO","LIQUIDADO",IF(I735&lt;$I$5,"VENCIDO","A VENCER")))</f>
        <v>A VENCER</v>
      </c>
      <c r="N735" s="253">
        <f ca="1">IF(Tabela4[[#This Row],[STATUS]]="LIQUIDADO","",Tabela4[[#This Row],[VCTO]]-$I$5)</f>
        <v>30</v>
      </c>
      <c r="O735" s="247"/>
      <c r="P735" s="248"/>
      <c r="Q735" s="247"/>
      <c r="R735" s="247"/>
      <c r="S735" s="247"/>
      <c r="T735" s="247"/>
      <c r="U735" s="247"/>
      <c r="V735" s="5"/>
    </row>
    <row r="736" spans="1:22">
      <c r="A736" s="247" t="s">
        <v>0</v>
      </c>
      <c r="B736" s="248">
        <v>46072</v>
      </c>
      <c r="C736" s="11" t="s">
        <v>43</v>
      </c>
      <c r="D736" s="247">
        <v>392</v>
      </c>
      <c r="E736" s="35" t="s">
        <v>92</v>
      </c>
      <c r="F736" s="26" t="s">
        <v>480</v>
      </c>
      <c r="G736" s="249">
        <v>20873972000106</v>
      </c>
      <c r="H736" s="250">
        <v>2147.5</v>
      </c>
      <c r="I736" s="251">
        <v>46107</v>
      </c>
      <c r="J736" s="252" t="s">
        <v>91</v>
      </c>
      <c r="K736" s="247" t="s">
        <v>77</v>
      </c>
      <c r="L736" s="248">
        <v>46073</v>
      </c>
      <c r="M736" s="247" t="str">
        <f ca="1">IF(Tabela4[[#This Row],[RECOMPRADO]]="RECEBIDO","LIQUIDADO",IF(O736="LIQUIDADO","LIQUIDADO",IF(I736&lt;$I$5,"VENCIDO","A VENCER")))</f>
        <v>A VENCER</v>
      </c>
      <c r="N736" s="253">
        <f ca="1">IF(Tabela4[[#This Row],[STATUS]]="LIQUIDADO","",Tabela4[[#This Row],[VCTO]]-$I$5)</f>
        <v>9</v>
      </c>
      <c r="O736" s="247"/>
      <c r="P736" s="248"/>
      <c r="Q736" s="247"/>
      <c r="R736" s="247"/>
      <c r="S736" s="247"/>
      <c r="T736" s="247"/>
      <c r="U736" s="247"/>
      <c r="V736" s="5"/>
    </row>
    <row r="737" spans="1:22">
      <c r="A737" s="247" t="s">
        <v>0</v>
      </c>
      <c r="B737" s="248">
        <v>46072</v>
      </c>
      <c r="C737" s="11" t="s">
        <v>43</v>
      </c>
      <c r="D737" s="247">
        <v>392</v>
      </c>
      <c r="E737" s="35" t="s">
        <v>95</v>
      </c>
      <c r="F737" s="26" t="s">
        <v>480</v>
      </c>
      <c r="G737" s="249">
        <v>20873972000106</v>
      </c>
      <c r="H737" s="250">
        <v>2147.5</v>
      </c>
      <c r="I737" s="251">
        <v>46114</v>
      </c>
      <c r="J737" s="252" t="s">
        <v>91</v>
      </c>
      <c r="K737" s="247" t="s">
        <v>77</v>
      </c>
      <c r="L737" s="248">
        <v>46073</v>
      </c>
      <c r="M737" s="247" t="str">
        <f ca="1">IF(Tabela4[[#This Row],[RECOMPRADO]]="RECEBIDO","LIQUIDADO",IF(O737="LIQUIDADO","LIQUIDADO",IF(I737&lt;$I$5,"VENCIDO","A VENCER")))</f>
        <v>A VENCER</v>
      </c>
      <c r="N737" s="253">
        <f ca="1">IF(Tabela4[[#This Row],[STATUS]]="LIQUIDADO","",Tabela4[[#This Row],[VCTO]]-$I$5)</f>
        <v>16</v>
      </c>
      <c r="O737" s="247"/>
      <c r="P737" s="248"/>
      <c r="Q737" s="247"/>
      <c r="R737" s="247"/>
      <c r="S737" s="247"/>
      <c r="T737" s="247"/>
      <c r="U737" s="247"/>
      <c r="V737" s="5"/>
    </row>
    <row r="738" spans="1:22">
      <c r="A738" s="247" t="s">
        <v>0</v>
      </c>
      <c r="B738" s="248">
        <v>46072</v>
      </c>
      <c r="C738" s="11" t="s">
        <v>43</v>
      </c>
      <c r="D738" s="247">
        <v>392</v>
      </c>
      <c r="E738" s="35" t="s">
        <v>96</v>
      </c>
      <c r="F738" s="26" t="s">
        <v>480</v>
      </c>
      <c r="G738" s="249">
        <v>20873972000106</v>
      </c>
      <c r="H738" s="250">
        <v>2147.5</v>
      </c>
      <c r="I738" s="251">
        <v>46121</v>
      </c>
      <c r="J738" s="252" t="s">
        <v>91</v>
      </c>
      <c r="K738" s="247" t="s">
        <v>77</v>
      </c>
      <c r="L738" s="248">
        <v>46073</v>
      </c>
      <c r="M738" s="247" t="str">
        <f ca="1">IF(Tabela4[[#This Row],[RECOMPRADO]]="RECEBIDO","LIQUIDADO",IF(O738="LIQUIDADO","LIQUIDADO",IF(I738&lt;$I$5,"VENCIDO","A VENCER")))</f>
        <v>A VENCER</v>
      </c>
      <c r="N738" s="253">
        <f ca="1">IF(Tabela4[[#This Row],[STATUS]]="LIQUIDADO","",Tabela4[[#This Row],[VCTO]]-$I$5)</f>
        <v>23</v>
      </c>
      <c r="O738" s="247"/>
      <c r="P738" s="248"/>
      <c r="Q738" s="247"/>
      <c r="R738" s="247"/>
      <c r="S738" s="247"/>
      <c r="T738" s="247"/>
      <c r="U738" s="247"/>
      <c r="V738" s="5"/>
    </row>
    <row r="739" spans="1:22">
      <c r="A739" s="247" t="s">
        <v>0</v>
      </c>
      <c r="B739" s="248">
        <v>46072</v>
      </c>
      <c r="C739" s="11" t="s">
        <v>43</v>
      </c>
      <c r="D739" s="247">
        <v>392</v>
      </c>
      <c r="E739" s="35" t="s">
        <v>97</v>
      </c>
      <c r="F739" s="26" t="s">
        <v>480</v>
      </c>
      <c r="G739" s="249">
        <v>20873972000106</v>
      </c>
      <c r="H739" s="250">
        <v>2147.5</v>
      </c>
      <c r="I739" s="251">
        <v>46128</v>
      </c>
      <c r="J739" s="252" t="s">
        <v>91</v>
      </c>
      <c r="K739" s="247" t="s">
        <v>77</v>
      </c>
      <c r="L739" s="248">
        <v>46073</v>
      </c>
      <c r="M739" s="247" t="str">
        <f ca="1">IF(Tabela4[[#This Row],[RECOMPRADO]]="RECEBIDO","LIQUIDADO",IF(O739="LIQUIDADO","LIQUIDADO",IF(I739&lt;$I$5,"VENCIDO","A VENCER")))</f>
        <v>A VENCER</v>
      </c>
      <c r="N739" s="253">
        <f ca="1">IF(Tabela4[[#This Row],[STATUS]]="LIQUIDADO","",Tabela4[[#This Row],[VCTO]]-$I$5)</f>
        <v>30</v>
      </c>
      <c r="O739" s="247"/>
      <c r="P739" s="248"/>
      <c r="Q739" s="247"/>
      <c r="R739" s="247"/>
      <c r="S739" s="247"/>
      <c r="T739" s="247"/>
      <c r="U739" s="247"/>
      <c r="V739" s="5"/>
    </row>
    <row r="740" spans="1:22">
      <c r="A740" s="247" t="s">
        <v>0</v>
      </c>
      <c r="B740" s="248">
        <v>46072</v>
      </c>
      <c r="C740" s="11" t="s">
        <v>41</v>
      </c>
      <c r="D740" s="247">
        <v>393</v>
      </c>
      <c r="E740" s="35" t="s">
        <v>92</v>
      </c>
      <c r="F740" s="26" t="s">
        <v>117</v>
      </c>
      <c r="G740" s="249">
        <v>41750320000146</v>
      </c>
      <c r="H740" s="250">
        <v>201.5</v>
      </c>
      <c r="I740" s="251">
        <v>46108</v>
      </c>
      <c r="J740" s="252" t="s">
        <v>91</v>
      </c>
      <c r="K740" s="247" t="s">
        <v>77</v>
      </c>
      <c r="L740" s="248">
        <v>46073</v>
      </c>
      <c r="M740" s="247" t="str">
        <f ca="1">IF(Tabela4[[#This Row],[RECOMPRADO]]="RECEBIDO","LIQUIDADO",IF(O740="LIQUIDADO","LIQUIDADO",IF(I740&lt;$I$5,"VENCIDO","A VENCER")))</f>
        <v>A VENCER</v>
      </c>
      <c r="N740" s="253">
        <f ca="1">IF(Tabela4[[#This Row],[STATUS]]="LIQUIDADO","",Tabela4[[#This Row],[VCTO]]-$I$5)</f>
        <v>10</v>
      </c>
      <c r="O740" s="247"/>
      <c r="P740" s="248"/>
      <c r="Q740" s="247"/>
      <c r="R740" s="247"/>
      <c r="S740" s="247"/>
      <c r="T740" s="26" t="s">
        <v>394</v>
      </c>
      <c r="U740" s="26"/>
      <c r="V740" s="5"/>
    </row>
    <row r="741" spans="1:22">
      <c r="A741" s="255" t="s">
        <v>0</v>
      </c>
      <c r="B741" s="256">
        <v>46072</v>
      </c>
      <c r="C741" s="6" t="s">
        <v>41</v>
      </c>
      <c r="D741" s="255">
        <v>393</v>
      </c>
      <c r="E741" s="10" t="s">
        <v>95</v>
      </c>
      <c r="F741" s="5" t="s">
        <v>117</v>
      </c>
      <c r="G741" s="249">
        <v>41750320000146</v>
      </c>
      <c r="H741" s="258">
        <v>201.5</v>
      </c>
      <c r="I741" s="259">
        <v>46123</v>
      </c>
      <c r="J741" s="260" t="s">
        <v>91</v>
      </c>
      <c r="K741" s="255" t="s">
        <v>77</v>
      </c>
      <c r="L741" s="248">
        <v>46073</v>
      </c>
      <c r="M741" s="255" t="str">
        <f ca="1">IF(Tabela4[[#This Row],[RECOMPRADO]]="RECEBIDO","LIQUIDADO",IF(O741="LIQUIDADO","LIQUIDADO",IF(I741&lt;$I$5,"VENCIDO","A VENCER")))</f>
        <v>A VENCER</v>
      </c>
      <c r="N741" s="261">
        <f ca="1">IF(Tabela4[[#This Row],[STATUS]]="LIQUIDADO","",Tabela4[[#This Row],[VCTO]]-$I$5)</f>
        <v>25</v>
      </c>
      <c r="O741" s="255"/>
      <c r="P741" s="256"/>
      <c r="Q741" s="255"/>
      <c r="R741" s="255"/>
      <c r="S741" s="255"/>
      <c r="T741" s="26" t="s">
        <v>394</v>
      </c>
      <c r="U741" s="26"/>
      <c r="V741" s="5"/>
    </row>
    <row r="742" spans="1:22">
      <c r="A742" s="255" t="s">
        <v>0</v>
      </c>
      <c r="B742" s="256">
        <v>46072</v>
      </c>
      <c r="C742" s="6" t="s">
        <v>43</v>
      </c>
      <c r="D742" s="255">
        <v>393</v>
      </c>
      <c r="E742" s="10" t="s">
        <v>92</v>
      </c>
      <c r="F742" s="5" t="s">
        <v>117</v>
      </c>
      <c r="G742" s="249">
        <v>41750320000146</v>
      </c>
      <c r="H742" s="258">
        <v>1813.5</v>
      </c>
      <c r="I742" s="259">
        <v>46108</v>
      </c>
      <c r="J742" s="260" t="s">
        <v>91</v>
      </c>
      <c r="K742" s="255" t="s">
        <v>77</v>
      </c>
      <c r="L742" s="248">
        <v>46073</v>
      </c>
      <c r="M742" s="255" t="str">
        <f ca="1">IF(Tabela4[[#This Row],[RECOMPRADO]]="RECEBIDO","LIQUIDADO",IF(O742="LIQUIDADO","LIQUIDADO",IF(I742&lt;$I$5,"VENCIDO","A VENCER")))</f>
        <v>A VENCER</v>
      </c>
      <c r="N742" s="261">
        <f ca="1">IF(Tabela4[[#This Row],[STATUS]]="LIQUIDADO","",Tabela4[[#This Row],[VCTO]]-$I$5)</f>
        <v>10</v>
      </c>
      <c r="O742" s="255"/>
      <c r="P742" s="256"/>
      <c r="Q742" s="255"/>
      <c r="R742" s="255"/>
      <c r="S742" s="255"/>
      <c r="T742" s="26" t="s">
        <v>394</v>
      </c>
      <c r="U742" s="26"/>
      <c r="V742" s="5"/>
    </row>
    <row r="743" spans="1:22">
      <c r="A743" s="255" t="s">
        <v>0</v>
      </c>
      <c r="B743" s="256">
        <v>46072</v>
      </c>
      <c r="C743" s="6" t="s">
        <v>43</v>
      </c>
      <c r="D743" s="255">
        <v>393</v>
      </c>
      <c r="E743" s="10" t="s">
        <v>95</v>
      </c>
      <c r="F743" s="5" t="s">
        <v>117</v>
      </c>
      <c r="G743" s="249">
        <v>41750320000146</v>
      </c>
      <c r="H743" s="258">
        <v>1813.5</v>
      </c>
      <c r="I743" s="259">
        <v>46123</v>
      </c>
      <c r="J743" s="260" t="s">
        <v>91</v>
      </c>
      <c r="K743" s="255" t="s">
        <v>77</v>
      </c>
      <c r="L743" s="248">
        <v>46073</v>
      </c>
      <c r="M743" s="255" t="str">
        <f ca="1">IF(Tabela4[[#This Row],[RECOMPRADO]]="RECEBIDO","LIQUIDADO",IF(O743="LIQUIDADO","LIQUIDADO",IF(I743&lt;$I$5,"VENCIDO","A VENCER")))</f>
        <v>A VENCER</v>
      </c>
      <c r="N743" s="261">
        <f ca="1">IF(Tabela4[[#This Row],[STATUS]]="LIQUIDADO","",Tabela4[[#This Row],[VCTO]]-$I$5)</f>
        <v>25</v>
      </c>
      <c r="O743" s="255"/>
      <c r="P743" s="256"/>
      <c r="Q743" s="255"/>
      <c r="R743" s="255"/>
      <c r="S743" s="255"/>
      <c r="T743" s="26" t="s">
        <v>394</v>
      </c>
      <c r="U743" s="26"/>
      <c r="V743" s="5"/>
    </row>
    <row r="744" spans="1:22">
      <c r="A744" s="255" t="s">
        <v>0</v>
      </c>
      <c r="B744" s="256">
        <v>46073</v>
      </c>
      <c r="C744" s="6" t="s">
        <v>41</v>
      </c>
      <c r="D744" s="255">
        <v>408</v>
      </c>
      <c r="E744" s="10" t="s">
        <v>92</v>
      </c>
      <c r="F744" s="5" t="s">
        <v>512</v>
      </c>
      <c r="G744" s="249">
        <v>8177864000195</v>
      </c>
      <c r="H744" s="258">
        <v>2929.67</v>
      </c>
      <c r="I744" s="259">
        <v>46101</v>
      </c>
      <c r="J744" s="260" t="s">
        <v>90</v>
      </c>
      <c r="K744" s="255"/>
      <c r="L744" s="6" t="s">
        <v>205</v>
      </c>
      <c r="M744" s="255" t="str">
        <f ca="1">IF(Tabela4[[#This Row],[RECOMPRADO]]="RECEBIDO","LIQUIDADO",IF(O744="LIQUIDADO","LIQUIDADO",IF(I744&lt;$I$5,"VENCIDO","A VENCER")))</f>
        <v>A VENCER</v>
      </c>
      <c r="N744" s="261">
        <f ca="1">IF(Tabela4[[#This Row],[STATUS]]="LIQUIDADO","",Tabela4[[#This Row],[VCTO]]-$I$5)</f>
        <v>3</v>
      </c>
      <c r="O744" s="255"/>
      <c r="P744" s="256"/>
      <c r="Q744" s="255"/>
      <c r="R744" s="255"/>
      <c r="S744" s="255"/>
      <c r="T744" s="5" t="s">
        <v>527</v>
      </c>
      <c r="U744" s="5"/>
      <c r="V744" s="5"/>
    </row>
    <row r="745" spans="1:22">
      <c r="A745" s="255" t="s">
        <v>0</v>
      </c>
      <c r="B745" s="256">
        <v>46073</v>
      </c>
      <c r="C745" s="6" t="s">
        <v>41</v>
      </c>
      <c r="D745" s="255">
        <v>408</v>
      </c>
      <c r="E745" s="10" t="s">
        <v>95</v>
      </c>
      <c r="F745" s="5" t="s">
        <v>512</v>
      </c>
      <c r="G745" s="249">
        <v>8177864000195</v>
      </c>
      <c r="H745" s="258">
        <v>2929.67</v>
      </c>
      <c r="I745" s="259">
        <v>46108</v>
      </c>
      <c r="J745" s="260" t="s">
        <v>90</v>
      </c>
      <c r="K745" s="255"/>
      <c r="L745" s="6" t="s">
        <v>205</v>
      </c>
      <c r="M745" s="255" t="str">
        <f ca="1">IF(Tabela4[[#This Row],[RECOMPRADO]]="RECEBIDO","LIQUIDADO",IF(O745="LIQUIDADO","LIQUIDADO",IF(I745&lt;$I$5,"VENCIDO","A VENCER")))</f>
        <v>A VENCER</v>
      </c>
      <c r="N745" s="261">
        <f ca="1">IF(Tabela4[[#This Row],[STATUS]]="LIQUIDADO","",Tabela4[[#This Row],[VCTO]]-$I$5)</f>
        <v>10</v>
      </c>
      <c r="O745" s="255"/>
      <c r="P745" s="256"/>
      <c r="Q745" s="255"/>
      <c r="R745" s="255"/>
      <c r="S745" s="255"/>
      <c r="T745" s="5" t="s">
        <v>527</v>
      </c>
      <c r="U745" s="5"/>
      <c r="V745" s="5"/>
    </row>
    <row r="746" spans="1:22">
      <c r="A746" s="247" t="s">
        <v>0</v>
      </c>
      <c r="B746" s="248">
        <v>46073</v>
      </c>
      <c r="C746" s="11" t="s">
        <v>41</v>
      </c>
      <c r="D746" s="247">
        <v>408</v>
      </c>
      <c r="E746" s="35" t="s">
        <v>96</v>
      </c>
      <c r="F746" s="26" t="s">
        <v>512</v>
      </c>
      <c r="G746" s="249">
        <v>8177864000195</v>
      </c>
      <c r="H746" s="258">
        <v>2929.67</v>
      </c>
      <c r="I746" s="251">
        <v>46115</v>
      </c>
      <c r="J746" s="260" t="s">
        <v>90</v>
      </c>
      <c r="K746" s="255"/>
      <c r="L746" s="11" t="s">
        <v>205</v>
      </c>
      <c r="M746" s="247" t="str">
        <f ca="1">IF(Tabela4[[#This Row],[RECOMPRADO]]="RECEBIDO","LIQUIDADO",IF(O746="LIQUIDADO","LIQUIDADO",IF(I746&lt;$I$5,"VENCIDO","A VENCER")))</f>
        <v>A VENCER</v>
      </c>
      <c r="N746" s="253">
        <f ca="1">IF(Tabela4[[#This Row],[STATUS]]="LIQUIDADO","",Tabela4[[#This Row],[VCTO]]-$I$5)</f>
        <v>17</v>
      </c>
      <c r="O746" s="247"/>
      <c r="P746" s="248"/>
      <c r="Q746" s="247"/>
      <c r="R746" s="247"/>
      <c r="S746" s="247"/>
      <c r="T746" s="26" t="s">
        <v>527</v>
      </c>
      <c r="U746" s="26"/>
      <c r="V746" s="5"/>
    </row>
    <row r="747" spans="1:22">
      <c r="A747" s="247" t="s">
        <v>0</v>
      </c>
      <c r="B747" s="248">
        <v>46076</v>
      </c>
      <c r="C747" s="11" t="s">
        <v>41</v>
      </c>
      <c r="D747" s="247">
        <v>409</v>
      </c>
      <c r="E747" s="35" t="s">
        <v>92</v>
      </c>
      <c r="F747" s="26" t="s">
        <v>265</v>
      </c>
      <c r="G747" s="249">
        <v>50384738000178</v>
      </c>
      <c r="H747" s="250">
        <v>4317.8</v>
      </c>
      <c r="I747" s="251">
        <v>46105</v>
      </c>
      <c r="J747" s="252" t="s">
        <v>91</v>
      </c>
      <c r="K747" s="247" t="s">
        <v>73</v>
      </c>
      <c r="L747" s="11">
        <v>46080</v>
      </c>
      <c r="M747" s="247" t="str">
        <f ca="1">IF(Tabela4[[#This Row],[RECOMPRADO]]="RECEBIDO","LIQUIDADO",IF(O747="LIQUIDADO","LIQUIDADO",IF(I747&lt;$I$5,"VENCIDO","A VENCER")))</f>
        <v>A VENCER</v>
      </c>
      <c r="N747" s="253">
        <f ca="1">IF(Tabela4[[#This Row],[STATUS]]="LIQUIDADO","",Tabela4[[#This Row],[VCTO]]-$I$5)</f>
        <v>7</v>
      </c>
      <c r="O747" s="247"/>
      <c r="P747" s="248"/>
      <c r="Q747" s="247"/>
      <c r="R747" s="247"/>
      <c r="S747" s="247"/>
      <c r="T747" s="26" t="s">
        <v>513</v>
      </c>
      <c r="U747" s="26"/>
      <c r="V747" s="5"/>
    </row>
    <row r="748" spans="1:22">
      <c r="A748" s="247" t="s">
        <v>0</v>
      </c>
      <c r="B748" s="248">
        <v>46076</v>
      </c>
      <c r="C748" s="11" t="s">
        <v>41</v>
      </c>
      <c r="D748" s="247">
        <v>409</v>
      </c>
      <c r="E748" s="35" t="s">
        <v>95</v>
      </c>
      <c r="F748" s="26" t="s">
        <v>265</v>
      </c>
      <c r="G748" s="249">
        <v>50384738000178</v>
      </c>
      <c r="H748" s="250">
        <v>4317.8</v>
      </c>
      <c r="I748" s="251">
        <v>46112</v>
      </c>
      <c r="J748" s="252" t="s">
        <v>91</v>
      </c>
      <c r="K748" s="247" t="s">
        <v>73</v>
      </c>
      <c r="L748" s="11">
        <v>46080</v>
      </c>
      <c r="M748" s="247" t="str">
        <f ca="1">IF(Tabela4[[#This Row],[RECOMPRADO]]="RECEBIDO","LIQUIDADO",IF(O748="LIQUIDADO","LIQUIDADO",IF(I748&lt;$I$5,"VENCIDO","A VENCER")))</f>
        <v>A VENCER</v>
      </c>
      <c r="N748" s="253">
        <f ca="1">IF(Tabela4[[#This Row],[STATUS]]="LIQUIDADO","",Tabela4[[#This Row],[VCTO]]-$I$5)</f>
        <v>14</v>
      </c>
      <c r="O748" s="247"/>
      <c r="P748" s="248"/>
      <c r="Q748" s="247"/>
      <c r="R748" s="247"/>
      <c r="S748" s="247"/>
      <c r="T748" s="26" t="s">
        <v>513</v>
      </c>
      <c r="U748" s="26"/>
      <c r="V748" s="5"/>
    </row>
    <row r="749" spans="1:22">
      <c r="A749" s="247" t="s">
        <v>0</v>
      </c>
      <c r="B749" s="248">
        <v>46076</v>
      </c>
      <c r="C749" s="11" t="s">
        <v>41</v>
      </c>
      <c r="D749" s="247">
        <v>409</v>
      </c>
      <c r="E749" s="35" t="s">
        <v>96</v>
      </c>
      <c r="F749" s="26" t="s">
        <v>265</v>
      </c>
      <c r="G749" s="249">
        <v>50384738000178</v>
      </c>
      <c r="H749" s="250">
        <v>4317.8</v>
      </c>
      <c r="I749" s="251">
        <v>46119</v>
      </c>
      <c r="J749" s="252" t="s">
        <v>91</v>
      </c>
      <c r="K749" s="247" t="s">
        <v>73</v>
      </c>
      <c r="L749" s="11">
        <v>46080</v>
      </c>
      <c r="M749" s="247" t="str">
        <f ca="1">IF(Tabela4[[#This Row],[RECOMPRADO]]="RECEBIDO","LIQUIDADO",IF(O749="LIQUIDADO","LIQUIDADO",IF(I749&lt;$I$5,"VENCIDO","A VENCER")))</f>
        <v>A VENCER</v>
      </c>
      <c r="N749" s="253">
        <f ca="1">IF(Tabela4[[#This Row],[STATUS]]="LIQUIDADO","",Tabela4[[#This Row],[VCTO]]-$I$5)</f>
        <v>21</v>
      </c>
      <c r="O749" s="247"/>
      <c r="P749" s="248"/>
      <c r="Q749" s="247"/>
      <c r="R749" s="247"/>
      <c r="S749" s="247"/>
      <c r="T749" s="26" t="s">
        <v>513</v>
      </c>
      <c r="U749" s="26"/>
      <c r="V749" s="5"/>
    </row>
    <row r="750" spans="1:22">
      <c r="A750" s="26" t="s">
        <v>0</v>
      </c>
      <c r="B750" s="11">
        <v>46079</v>
      </c>
      <c r="C750" s="11" t="s">
        <v>41</v>
      </c>
      <c r="D750" s="26">
        <v>422</v>
      </c>
      <c r="E750" s="35" t="s">
        <v>92</v>
      </c>
      <c r="F750" s="26" t="s">
        <v>542</v>
      </c>
      <c r="G750" s="215">
        <v>59716549000120</v>
      </c>
      <c r="H750" s="39">
        <v>15002</v>
      </c>
      <c r="I750" s="216">
        <v>46079</v>
      </c>
      <c r="J750" s="36" t="s">
        <v>125</v>
      </c>
      <c r="K750" s="26"/>
      <c r="L750" s="11"/>
      <c r="M750" s="26" t="str">
        <f>IF(Tabela4[[#This Row],[RECOMPRADO]]="RECEBIDO","LIQUIDADO",IF(O750="LIQUIDADO","LIQUIDADO",IF(I750&lt;$I$5,"VENCIDO","A VENCER")))</f>
        <v>LIQUIDADO</v>
      </c>
      <c r="N750" s="212" t="str">
        <f>IF(Tabela4[[#This Row],[STATUS]]="LIQUIDADO","",Tabela4[[#This Row],[VCTO]]-$I$5)</f>
        <v/>
      </c>
      <c r="O750" s="26" t="s">
        <v>86</v>
      </c>
      <c r="P750" s="11"/>
      <c r="Q750" s="26"/>
      <c r="R750" s="26"/>
      <c r="S750" s="26"/>
      <c r="T750" s="26"/>
      <c r="U750" s="26"/>
      <c r="V750" s="5"/>
    </row>
    <row r="751" spans="1:22">
      <c r="A751" s="26" t="s">
        <v>0</v>
      </c>
      <c r="B751" s="11">
        <v>46080</v>
      </c>
      <c r="C751" s="11" t="s">
        <v>41</v>
      </c>
      <c r="D751" s="26">
        <v>431</v>
      </c>
      <c r="E751" s="35" t="s">
        <v>92</v>
      </c>
      <c r="F751" s="26" t="s">
        <v>6</v>
      </c>
      <c r="G751" s="215">
        <v>13844828000178</v>
      </c>
      <c r="H751" s="39">
        <v>757.33</v>
      </c>
      <c r="I751" s="216">
        <v>46108</v>
      </c>
      <c r="J751" s="36" t="s">
        <v>91</v>
      </c>
      <c r="K751" s="26" t="s">
        <v>77</v>
      </c>
      <c r="L751" s="11">
        <v>46080</v>
      </c>
      <c r="M751" s="26" t="str">
        <f ca="1">IF(Tabela4[[#This Row],[RECOMPRADO]]="RECEBIDO","LIQUIDADO",IF(O751="LIQUIDADO","LIQUIDADO",IF(I751&lt;$I$5,"VENCIDO","A VENCER")))</f>
        <v>A VENCER</v>
      </c>
      <c r="N751" s="212">
        <f ca="1">IF(Tabela4[[#This Row],[STATUS]]="LIQUIDADO","",Tabela4[[#This Row],[VCTO]]-$I$5)</f>
        <v>10</v>
      </c>
      <c r="O751" s="26"/>
      <c r="P751" s="11"/>
      <c r="Q751" s="26"/>
      <c r="R751" s="26"/>
      <c r="S751" s="26"/>
      <c r="T751" s="26" t="s">
        <v>544</v>
      </c>
      <c r="U751" s="26"/>
      <c r="V751" s="5"/>
    </row>
    <row r="752" spans="1:22">
      <c r="A752" s="26" t="s">
        <v>0</v>
      </c>
      <c r="B752" s="11">
        <v>46080</v>
      </c>
      <c r="C752" s="11" t="s">
        <v>41</v>
      </c>
      <c r="D752" s="26">
        <v>431</v>
      </c>
      <c r="E752" s="35" t="s">
        <v>95</v>
      </c>
      <c r="F752" s="26" t="s">
        <v>6</v>
      </c>
      <c r="G752" s="215">
        <v>13844828000178</v>
      </c>
      <c r="H752" s="39">
        <v>538.33000000000004</v>
      </c>
      <c r="I752" s="216">
        <v>46115</v>
      </c>
      <c r="J752" s="36" t="s">
        <v>91</v>
      </c>
      <c r="K752" s="26" t="s">
        <v>77</v>
      </c>
      <c r="L752" s="11">
        <v>46080</v>
      </c>
      <c r="M752" s="26" t="str">
        <f ca="1">IF(Tabela4[[#This Row],[RECOMPRADO]]="RECEBIDO","LIQUIDADO",IF(O752="LIQUIDADO","LIQUIDADO",IF(I752&lt;$I$5,"VENCIDO","A VENCER")))</f>
        <v>A VENCER</v>
      </c>
      <c r="N752" s="212">
        <f ca="1">IF(Tabela4[[#This Row],[STATUS]]="LIQUIDADO","",Tabela4[[#This Row],[VCTO]]-$I$5)</f>
        <v>17</v>
      </c>
      <c r="O752" s="26"/>
      <c r="P752" s="11"/>
      <c r="Q752" s="26"/>
      <c r="R752" s="26"/>
      <c r="S752" s="26"/>
      <c r="T752" s="26" t="s">
        <v>544</v>
      </c>
      <c r="U752" s="26"/>
      <c r="V752" s="5"/>
    </row>
    <row r="753" spans="1:22">
      <c r="A753" s="26" t="s">
        <v>0</v>
      </c>
      <c r="B753" s="11">
        <v>46080</v>
      </c>
      <c r="C753" s="11" t="s">
        <v>41</v>
      </c>
      <c r="D753" s="26">
        <v>431</v>
      </c>
      <c r="E753" s="35" t="s">
        <v>96</v>
      </c>
      <c r="F753" s="26" t="s">
        <v>6</v>
      </c>
      <c r="G753" s="215">
        <v>13844828000178</v>
      </c>
      <c r="H753" s="39">
        <v>538.33000000000004</v>
      </c>
      <c r="I753" s="216">
        <v>46122</v>
      </c>
      <c r="J753" s="36" t="s">
        <v>91</v>
      </c>
      <c r="K753" s="26" t="s">
        <v>77</v>
      </c>
      <c r="L753" s="11">
        <v>46080</v>
      </c>
      <c r="M753" s="26" t="str">
        <f ca="1">IF(Tabela4[[#This Row],[RECOMPRADO]]="RECEBIDO","LIQUIDADO",IF(O753="LIQUIDADO","LIQUIDADO",IF(I753&lt;$I$5,"VENCIDO","A VENCER")))</f>
        <v>A VENCER</v>
      </c>
      <c r="N753" s="212">
        <f ca="1">IF(Tabela4[[#This Row],[STATUS]]="LIQUIDADO","",Tabela4[[#This Row],[VCTO]]-$I$5)</f>
        <v>24</v>
      </c>
      <c r="O753" s="26"/>
      <c r="P753" s="11"/>
      <c r="Q753" s="26"/>
      <c r="R753" s="26"/>
      <c r="S753" s="26"/>
      <c r="T753" s="26" t="s">
        <v>544</v>
      </c>
      <c r="U753" s="26"/>
      <c r="V753" s="5"/>
    </row>
    <row r="754" spans="1:22">
      <c r="A754" s="26" t="s">
        <v>0</v>
      </c>
      <c r="B754" s="11">
        <v>46080</v>
      </c>
      <c r="C754" s="11" t="s">
        <v>43</v>
      </c>
      <c r="D754" s="26">
        <v>431</v>
      </c>
      <c r="E754" s="35" t="s">
        <v>92</v>
      </c>
      <c r="F754" s="26" t="s">
        <v>6</v>
      </c>
      <c r="G754" s="215">
        <v>13844828000178</v>
      </c>
      <c r="H754" s="39">
        <v>538.33000000000004</v>
      </c>
      <c r="I754" s="216">
        <v>46108</v>
      </c>
      <c r="J754" s="36" t="s">
        <v>91</v>
      </c>
      <c r="K754" s="26" t="s">
        <v>77</v>
      </c>
      <c r="L754" s="11">
        <v>46080</v>
      </c>
      <c r="M754" s="26" t="str">
        <f ca="1">IF(Tabela4[[#This Row],[RECOMPRADO]]="RECEBIDO","LIQUIDADO",IF(O754="LIQUIDADO","LIQUIDADO",IF(I754&lt;$I$5,"VENCIDO","A VENCER")))</f>
        <v>A VENCER</v>
      </c>
      <c r="N754" s="212">
        <f ca="1">IF(Tabela4[[#This Row],[STATUS]]="LIQUIDADO","",Tabela4[[#This Row],[VCTO]]-$I$5)</f>
        <v>10</v>
      </c>
      <c r="O754" s="26"/>
      <c r="P754" s="11"/>
      <c r="Q754" s="26"/>
      <c r="R754" s="26"/>
      <c r="S754" s="26"/>
      <c r="T754" s="26" t="s">
        <v>544</v>
      </c>
      <c r="U754" s="26"/>
      <c r="V754" s="5"/>
    </row>
    <row r="755" spans="1:22">
      <c r="A755" s="26" t="s">
        <v>0</v>
      </c>
      <c r="B755" s="11">
        <v>46080</v>
      </c>
      <c r="C755" s="11" t="s">
        <v>43</v>
      </c>
      <c r="D755" s="26">
        <v>431</v>
      </c>
      <c r="E755" s="35" t="s">
        <v>95</v>
      </c>
      <c r="F755" s="26" t="s">
        <v>6</v>
      </c>
      <c r="G755" s="215">
        <v>13844828000178</v>
      </c>
      <c r="H755" s="39">
        <v>538.33000000000004</v>
      </c>
      <c r="I755" s="216">
        <v>46115</v>
      </c>
      <c r="J755" s="36" t="s">
        <v>91</v>
      </c>
      <c r="K755" s="26" t="s">
        <v>77</v>
      </c>
      <c r="L755" s="11">
        <v>46080</v>
      </c>
      <c r="M755" s="26" t="str">
        <f ca="1">IF(Tabela4[[#This Row],[RECOMPRADO]]="RECEBIDO","LIQUIDADO",IF(O755="LIQUIDADO","LIQUIDADO",IF(I755&lt;$I$5,"VENCIDO","A VENCER")))</f>
        <v>A VENCER</v>
      </c>
      <c r="N755" s="212">
        <f ca="1">IF(Tabela4[[#This Row],[STATUS]]="LIQUIDADO","",Tabela4[[#This Row],[VCTO]]-$I$5)</f>
        <v>17</v>
      </c>
      <c r="O755" s="26"/>
      <c r="P755" s="11"/>
      <c r="Q755" s="26"/>
      <c r="R755" s="26"/>
      <c r="S755" s="26"/>
      <c r="T755" s="26" t="s">
        <v>544</v>
      </c>
      <c r="U755" s="26"/>
      <c r="V755" s="5"/>
    </row>
    <row r="756" spans="1:22">
      <c r="A756" s="26" t="s">
        <v>0</v>
      </c>
      <c r="B756" s="11">
        <v>46080</v>
      </c>
      <c r="C756" s="11" t="s">
        <v>43</v>
      </c>
      <c r="D756" s="26">
        <v>431</v>
      </c>
      <c r="E756" s="35" t="s">
        <v>96</v>
      </c>
      <c r="F756" s="26" t="s">
        <v>6</v>
      </c>
      <c r="G756" s="215">
        <v>13844828000178</v>
      </c>
      <c r="H756" s="39">
        <v>538.33000000000004</v>
      </c>
      <c r="I756" s="216">
        <v>46122</v>
      </c>
      <c r="J756" s="36" t="s">
        <v>91</v>
      </c>
      <c r="K756" s="26" t="s">
        <v>77</v>
      </c>
      <c r="L756" s="11">
        <v>46080</v>
      </c>
      <c r="M756" s="26" t="str">
        <f ca="1">IF(Tabela4[[#This Row],[RECOMPRADO]]="RECEBIDO","LIQUIDADO",IF(O756="LIQUIDADO","LIQUIDADO",IF(I756&lt;$I$5,"VENCIDO","A VENCER")))</f>
        <v>A VENCER</v>
      </c>
      <c r="N756" s="212">
        <f ca="1">IF(Tabela4[[#This Row],[STATUS]]="LIQUIDADO","",Tabela4[[#This Row],[VCTO]]-$I$5)</f>
        <v>24</v>
      </c>
      <c r="O756" s="26"/>
      <c r="P756" s="11"/>
      <c r="Q756" s="26"/>
      <c r="R756" s="26"/>
      <c r="S756" s="26"/>
      <c r="T756" s="26" t="s">
        <v>544</v>
      </c>
      <c r="U756" s="26"/>
      <c r="V756" s="5"/>
    </row>
    <row r="757" spans="1:22">
      <c r="A757" s="26" t="s">
        <v>0</v>
      </c>
      <c r="B757" s="11">
        <v>46080</v>
      </c>
      <c r="C757" s="11" t="s">
        <v>41</v>
      </c>
      <c r="D757" s="26">
        <v>432</v>
      </c>
      <c r="E757" s="35" t="s">
        <v>92</v>
      </c>
      <c r="F757" s="26" t="s">
        <v>545</v>
      </c>
      <c r="G757" s="215">
        <v>9232518000125</v>
      </c>
      <c r="H757" s="39">
        <v>693.33</v>
      </c>
      <c r="I757" s="216">
        <v>46112</v>
      </c>
      <c r="J757" s="36" t="s">
        <v>91</v>
      </c>
      <c r="K757" s="26" t="s">
        <v>80</v>
      </c>
      <c r="L757" s="11">
        <v>46083</v>
      </c>
      <c r="M757" s="26" t="str">
        <f ca="1">IF(Tabela4[[#This Row],[RECOMPRADO]]="RECEBIDO","LIQUIDADO",IF(O757="LIQUIDADO","LIQUIDADO",IF(I757&lt;$I$5,"VENCIDO","A VENCER")))</f>
        <v>A VENCER</v>
      </c>
      <c r="N757" s="212">
        <f ca="1">IF(Tabela4[[#This Row],[STATUS]]="LIQUIDADO","",Tabela4[[#This Row],[VCTO]]-$I$5)</f>
        <v>14</v>
      </c>
      <c r="O757" s="26"/>
      <c r="P757" s="11"/>
      <c r="Q757" s="26"/>
      <c r="R757" s="26"/>
      <c r="S757" s="26"/>
      <c r="T757" s="26" t="s">
        <v>394</v>
      </c>
      <c r="U757" s="26"/>
      <c r="V757" s="5"/>
    </row>
    <row r="758" spans="1:22">
      <c r="A758" s="26" t="s">
        <v>0</v>
      </c>
      <c r="B758" s="11">
        <v>46080</v>
      </c>
      <c r="C758" s="11" t="s">
        <v>41</v>
      </c>
      <c r="D758" s="26">
        <v>432</v>
      </c>
      <c r="E758" s="35" t="s">
        <v>95</v>
      </c>
      <c r="F758" s="26" t="s">
        <v>545</v>
      </c>
      <c r="G758" s="215">
        <v>9232518000125</v>
      </c>
      <c r="H758" s="39">
        <v>693.33</v>
      </c>
      <c r="I758" s="216">
        <v>46119</v>
      </c>
      <c r="J758" s="36" t="s">
        <v>91</v>
      </c>
      <c r="K758" s="26" t="s">
        <v>80</v>
      </c>
      <c r="L758" s="11">
        <v>46083</v>
      </c>
      <c r="M758" s="26" t="str">
        <f ca="1">IF(Tabela4[[#This Row],[RECOMPRADO]]="RECEBIDO","LIQUIDADO",IF(O758="LIQUIDADO","LIQUIDADO",IF(I758&lt;$I$5,"VENCIDO","A VENCER")))</f>
        <v>A VENCER</v>
      </c>
      <c r="N758" s="212">
        <f ca="1">IF(Tabela4[[#This Row],[STATUS]]="LIQUIDADO","",Tabela4[[#This Row],[VCTO]]-$I$5)</f>
        <v>21</v>
      </c>
      <c r="O758" s="26"/>
      <c r="P758" s="11"/>
      <c r="Q758" s="26"/>
      <c r="R758" s="26"/>
      <c r="S758" s="26"/>
      <c r="T758" s="26" t="s">
        <v>394</v>
      </c>
      <c r="U758" s="26"/>
      <c r="V758" s="5"/>
    </row>
    <row r="759" spans="1:22">
      <c r="A759" s="26" t="s">
        <v>0</v>
      </c>
      <c r="B759" s="11">
        <v>46080</v>
      </c>
      <c r="C759" s="11" t="s">
        <v>41</v>
      </c>
      <c r="D759" s="26">
        <v>432</v>
      </c>
      <c r="E759" s="35" t="s">
        <v>96</v>
      </c>
      <c r="F759" s="26" t="s">
        <v>545</v>
      </c>
      <c r="G759" s="215">
        <v>9232518000125</v>
      </c>
      <c r="H759" s="39">
        <v>693.34</v>
      </c>
      <c r="I759" s="216">
        <v>46126</v>
      </c>
      <c r="J759" s="36" t="s">
        <v>91</v>
      </c>
      <c r="K759" s="26" t="s">
        <v>80</v>
      </c>
      <c r="L759" s="11">
        <v>46083</v>
      </c>
      <c r="M759" s="26" t="str">
        <f ca="1">IF(Tabela4[[#This Row],[RECOMPRADO]]="RECEBIDO","LIQUIDADO",IF(O759="LIQUIDADO","LIQUIDADO",IF(I759&lt;$I$5,"VENCIDO","A VENCER")))</f>
        <v>A VENCER</v>
      </c>
      <c r="N759" s="212">
        <f ca="1">IF(Tabela4[[#This Row],[STATUS]]="LIQUIDADO","",Tabela4[[#This Row],[VCTO]]-$I$5)</f>
        <v>28</v>
      </c>
      <c r="O759" s="26"/>
      <c r="P759" s="11"/>
      <c r="Q759" s="26"/>
      <c r="R759" s="26"/>
      <c r="S759" s="26"/>
      <c r="T759" s="26" t="s">
        <v>394</v>
      </c>
      <c r="U759" s="26"/>
      <c r="V759" s="5"/>
    </row>
    <row r="760" spans="1:22">
      <c r="A760" s="26" t="s">
        <v>0</v>
      </c>
      <c r="B760" s="11">
        <v>46080</v>
      </c>
      <c r="C760" s="11" t="s">
        <v>43</v>
      </c>
      <c r="D760" s="26">
        <v>432</v>
      </c>
      <c r="E760" s="35" t="s">
        <v>92</v>
      </c>
      <c r="F760" s="26" t="s">
        <v>545</v>
      </c>
      <c r="G760" s="215">
        <v>9232518000125</v>
      </c>
      <c r="H760" s="39">
        <v>693.33</v>
      </c>
      <c r="I760" s="216">
        <v>46112</v>
      </c>
      <c r="J760" s="36" t="s">
        <v>91</v>
      </c>
      <c r="K760" s="26" t="s">
        <v>381</v>
      </c>
      <c r="L760" s="11">
        <v>46084</v>
      </c>
      <c r="M760" s="26" t="str">
        <f ca="1">IF(Tabela4[[#This Row],[RECOMPRADO]]="RECEBIDO","LIQUIDADO",IF(O760="LIQUIDADO","LIQUIDADO",IF(I760&lt;$I$5,"VENCIDO","A VENCER")))</f>
        <v>A VENCER</v>
      </c>
      <c r="N760" s="212">
        <f ca="1">IF(Tabela4[[#This Row],[STATUS]]="LIQUIDADO","",Tabela4[[#This Row],[VCTO]]-$I$5)</f>
        <v>14</v>
      </c>
      <c r="O760" s="26"/>
      <c r="P760" s="11"/>
      <c r="Q760" s="26"/>
      <c r="R760" s="26"/>
      <c r="S760" s="26"/>
      <c r="T760" s="26" t="s">
        <v>394</v>
      </c>
      <c r="U760" s="26"/>
      <c r="V760" s="5"/>
    </row>
    <row r="761" spans="1:22">
      <c r="A761" s="26" t="s">
        <v>0</v>
      </c>
      <c r="B761" s="11">
        <v>46080</v>
      </c>
      <c r="C761" s="11" t="s">
        <v>43</v>
      </c>
      <c r="D761" s="26">
        <v>432</v>
      </c>
      <c r="E761" s="35" t="s">
        <v>95</v>
      </c>
      <c r="F761" s="26" t="s">
        <v>545</v>
      </c>
      <c r="G761" s="215">
        <v>9232518000125</v>
      </c>
      <c r="H761" s="39">
        <v>693.33</v>
      </c>
      <c r="I761" s="216">
        <v>46119</v>
      </c>
      <c r="J761" s="36" t="s">
        <v>91</v>
      </c>
      <c r="K761" s="26" t="s">
        <v>381</v>
      </c>
      <c r="L761" s="11">
        <v>46084</v>
      </c>
      <c r="M761" s="26" t="str">
        <f ca="1">IF(Tabela4[[#This Row],[RECOMPRADO]]="RECEBIDO","LIQUIDADO",IF(O761="LIQUIDADO","LIQUIDADO",IF(I761&lt;$I$5,"VENCIDO","A VENCER")))</f>
        <v>A VENCER</v>
      </c>
      <c r="N761" s="212">
        <f ca="1">IF(Tabela4[[#This Row],[STATUS]]="LIQUIDADO","",Tabela4[[#This Row],[VCTO]]-$I$5)</f>
        <v>21</v>
      </c>
      <c r="O761" s="26"/>
      <c r="P761" s="11"/>
      <c r="Q761" s="26"/>
      <c r="R761" s="26"/>
      <c r="S761" s="26"/>
      <c r="T761" s="26" t="s">
        <v>394</v>
      </c>
      <c r="U761" s="26"/>
      <c r="V761" s="5"/>
    </row>
    <row r="762" spans="1:22">
      <c r="A762" s="26" t="s">
        <v>0</v>
      </c>
      <c r="B762" s="11">
        <v>46080</v>
      </c>
      <c r="C762" s="11" t="s">
        <v>43</v>
      </c>
      <c r="D762" s="26">
        <v>432</v>
      </c>
      <c r="E762" s="35" t="s">
        <v>96</v>
      </c>
      <c r="F762" s="26" t="s">
        <v>545</v>
      </c>
      <c r="G762" s="215">
        <v>9232518000125</v>
      </c>
      <c r="H762" s="39">
        <v>693.33</v>
      </c>
      <c r="I762" s="216">
        <v>46126</v>
      </c>
      <c r="J762" s="36" t="s">
        <v>91</v>
      </c>
      <c r="K762" s="26" t="s">
        <v>381</v>
      </c>
      <c r="L762" s="11">
        <v>46084</v>
      </c>
      <c r="M762" s="26" t="str">
        <f ca="1">IF(Tabela4[[#This Row],[RECOMPRADO]]="RECEBIDO","LIQUIDADO",IF(O762="LIQUIDADO","LIQUIDADO",IF(I762&lt;$I$5,"VENCIDO","A VENCER")))</f>
        <v>A VENCER</v>
      </c>
      <c r="N762" s="212">
        <f ca="1">IF(Tabela4[[#This Row],[STATUS]]="LIQUIDADO","",Tabela4[[#This Row],[VCTO]]-$I$5)</f>
        <v>28</v>
      </c>
      <c r="O762" s="26"/>
      <c r="P762" s="11"/>
      <c r="Q762" s="26"/>
      <c r="R762" s="26"/>
      <c r="S762" s="26"/>
      <c r="T762" s="26" t="s">
        <v>394</v>
      </c>
      <c r="U762" s="26"/>
      <c r="V762" s="5"/>
    </row>
    <row r="763" spans="1:22">
      <c r="A763" s="26" t="s">
        <v>108</v>
      </c>
      <c r="B763" s="11">
        <v>46080</v>
      </c>
      <c r="C763" s="11" t="s">
        <v>41</v>
      </c>
      <c r="D763" s="26">
        <v>723</v>
      </c>
      <c r="E763" s="35" t="s">
        <v>92</v>
      </c>
      <c r="F763" s="26" t="s">
        <v>546</v>
      </c>
      <c r="G763" s="215">
        <v>15619588000133</v>
      </c>
      <c r="H763" s="39">
        <v>3600</v>
      </c>
      <c r="I763" s="216">
        <v>46112</v>
      </c>
      <c r="J763" s="36" t="s">
        <v>91</v>
      </c>
      <c r="K763" s="26" t="s">
        <v>80</v>
      </c>
      <c r="L763" s="11">
        <v>46083</v>
      </c>
      <c r="M763" s="26" t="str">
        <f ca="1">IF(Tabela4[[#This Row],[RECOMPRADO]]="RECEBIDO","LIQUIDADO",IF(O763="LIQUIDADO","LIQUIDADO",IF(I763&lt;$I$5,"VENCIDO","A VENCER")))</f>
        <v>A VENCER</v>
      </c>
      <c r="N763" s="212">
        <f ca="1">IF(Tabela4[[#This Row],[STATUS]]="LIQUIDADO","",Tabela4[[#This Row],[VCTO]]-$I$5)</f>
        <v>14</v>
      </c>
      <c r="O763" s="26"/>
      <c r="P763" s="11"/>
      <c r="Q763" s="26"/>
      <c r="R763" s="26"/>
      <c r="S763" s="26"/>
      <c r="T763" s="26"/>
      <c r="U763" s="26"/>
      <c r="V763" s="5"/>
    </row>
    <row r="764" spans="1:22">
      <c r="A764" s="26" t="s">
        <v>108</v>
      </c>
      <c r="B764" s="11">
        <v>46080</v>
      </c>
      <c r="C764" s="11" t="s">
        <v>41</v>
      </c>
      <c r="D764" s="26">
        <v>723</v>
      </c>
      <c r="E764" s="35" t="s">
        <v>95</v>
      </c>
      <c r="F764" s="26" t="s">
        <v>546</v>
      </c>
      <c r="G764" s="215">
        <v>15619588000133</v>
      </c>
      <c r="H764" s="39">
        <v>3600</v>
      </c>
      <c r="I764" s="216">
        <v>46119</v>
      </c>
      <c r="J764" s="36" t="s">
        <v>91</v>
      </c>
      <c r="K764" s="26" t="s">
        <v>80</v>
      </c>
      <c r="L764" s="11">
        <v>46083</v>
      </c>
      <c r="M764" s="26" t="str">
        <f ca="1">IF(Tabela4[[#This Row],[RECOMPRADO]]="RECEBIDO","LIQUIDADO",IF(O764="LIQUIDADO","LIQUIDADO",IF(I764&lt;$I$5,"VENCIDO","A VENCER")))</f>
        <v>A VENCER</v>
      </c>
      <c r="N764" s="212">
        <f ca="1">IF(Tabela4[[#This Row],[STATUS]]="LIQUIDADO","",Tabela4[[#This Row],[VCTO]]-$I$5)</f>
        <v>21</v>
      </c>
      <c r="O764" s="26"/>
      <c r="P764" s="11"/>
      <c r="Q764" s="26"/>
      <c r="R764" s="26"/>
      <c r="S764" s="26"/>
      <c r="T764" s="26"/>
      <c r="U764" s="26"/>
      <c r="V764" s="5"/>
    </row>
    <row r="765" spans="1:22">
      <c r="A765" s="26" t="s">
        <v>108</v>
      </c>
      <c r="B765" s="11">
        <v>46080</v>
      </c>
      <c r="C765" s="11" t="s">
        <v>41</v>
      </c>
      <c r="D765" s="26">
        <v>723</v>
      </c>
      <c r="E765" s="35" t="s">
        <v>96</v>
      </c>
      <c r="F765" s="26" t="s">
        <v>546</v>
      </c>
      <c r="G765" s="215">
        <v>15619588000133</v>
      </c>
      <c r="H765" s="39">
        <v>3600</v>
      </c>
      <c r="I765" s="216">
        <v>46126</v>
      </c>
      <c r="J765" s="36" t="s">
        <v>91</v>
      </c>
      <c r="K765" s="26" t="s">
        <v>80</v>
      </c>
      <c r="L765" s="11">
        <v>46083</v>
      </c>
      <c r="M765" s="26" t="str">
        <f ca="1">IF(Tabela4[[#This Row],[RECOMPRADO]]="RECEBIDO","LIQUIDADO",IF(O765="LIQUIDADO","LIQUIDADO",IF(I765&lt;$I$5,"VENCIDO","A VENCER")))</f>
        <v>A VENCER</v>
      </c>
      <c r="N765" s="212">
        <f ca="1">IF(Tabela4[[#This Row],[STATUS]]="LIQUIDADO","",Tabela4[[#This Row],[VCTO]]-$I$5)</f>
        <v>28</v>
      </c>
      <c r="O765" s="26"/>
      <c r="P765" s="11"/>
      <c r="Q765" s="26"/>
      <c r="R765" s="26"/>
      <c r="S765" s="26"/>
      <c r="T765" s="26"/>
      <c r="U765" s="26"/>
      <c r="V765" s="5"/>
    </row>
    <row r="766" spans="1:22">
      <c r="A766" s="26" t="s">
        <v>0</v>
      </c>
      <c r="B766" s="11">
        <v>46080</v>
      </c>
      <c r="C766" s="11" t="s">
        <v>41</v>
      </c>
      <c r="D766" s="26">
        <v>424</v>
      </c>
      <c r="E766" s="35" t="s">
        <v>92</v>
      </c>
      <c r="F766" s="26" t="s">
        <v>547</v>
      </c>
      <c r="G766" s="215">
        <v>31075299000177</v>
      </c>
      <c r="H766" s="39">
        <v>1622.5</v>
      </c>
      <c r="I766" s="216">
        <v>46105</v>
      </c>
      <c r="J766" s="36" t="s">
        <v>91</v>
      </c>
      <c r="K766" s="26" t="s">
        <v>80</v>
      </c>
      <c r="L766" s="11">
        <v>46083</v>
      </c>
      <c r="M766" s="26" t="str">
        <f ca="1">IF(Tabela4[[#This Row],[RECOMPRADO]]="RECEBIDO","LIQUIDADO",IF(O766="LIQUIDADO","LIQUIDADO",IF(I766&lt;$I$5,"VENCIDO","A VENCER")))</f>
        <v>A VENCER</v>
      </c>
      <c r="N766" s="212">
        <f ca="1">IF(Tabela4[[#This Row],[STATUS]]="LIQUIDADO","",Tabela4[[#This Row],[VCTO]]-$I$5)</f>
        <v>7</v>
      </c>
      <c r="O766" s="26"/>
      <c r="P766" s="11"/>
      <c r="Q766" s="26"/>
      <c r="R766" s="26"/>
      <c r="S766" s="26"/>
      <c r="T766" s="26"/>
      <c r="U766" s="26"/>
      <c r="V766" s="5"/>
    </row>
    <row r="767" spans="1:22">
      <c r="A767" s="26" t="s">
        <v>0</v>
      </c>
      <c r="B767" s="11">
        <v>46080</v>
      </c>
      <c r="C767" s="11" t="s">
        <v>41</v>
      </c>
      <c r="D767" s="26">
        <v>424</v>
      </c>
      <c r="E767" s="35" t="s">
        <v>95</v>
      </c>
      <c r="F767" s="26" t="s">
        <v>547</v>
      </c>
      <c r="G767" s="215">
        <v>31075299000177</v>
      </c>
      <c r="H767" s="39">
        <v>1622.5</v>
      </c>
      <c r="I767" s="216">
        <v>46112</v>
      </c>
      <c r="J767" s="36" t="s">
        <v>91</v>
      </c>
      <c r="K767" s="26" t="s">
        <v>80</v>
      </c>
      <c r="L767" s="11">
        <v>46083</v>
      </c>
      <c r="M767" s="26" t="str">
        <f ca="1">IF(Tabela4[[#This Row],[RECOMPRADO]]="RECEBIDO","LIQUIDADO",IF(O767="LIQUIDADO","LIQUIDADO",IF(I767&lt;$I$5,"VENCIDO","A VENCER")))</f>
        <v>A VENCER</v>
      </c>
      <c r="N767" s="212">
        <f ca="1">IF(Tabela4[[#This Row],[STATUS]]="LIQUIDADO","",Tabela4[[#This Row],[VCTO]]-$I$5)</f>
        <v>14</v>
      </c>
      <c r="O767" s="26"/>
      <c r="P767" s="11"/>
      <c r="Q767" s="26"/>
      <c r="R767" s="26"/>
      <c r="S767" s="26"/>
      <c r="T767" s="26"/>
      <c r="U767" s="26"/>
      <c r="V767" s="5"/>
    </row>
    <row r="768" spans="1:22">
      <c r="A768" s="26" t="s">
        <v>0</v>
      </c>
      <c r="B768" s="11">
        <v>46080</v>
      </c>
      <c r="C768" s="11" t="s">
        <v>41</v>
      </c>
      <c r="D768" s="26">
        <v>424</v>
      </c>
      <c r="E768" s="35" t="s">
        <v>96</v>
      </c>
      <c r="F768" s="26" t="s">
        <v>547</v>
      </c>
      <c r="G768" s="215">
        <v>31075299000177</v>
      </c>
      <c r="H768" s="39">
        <v>1622.5</v>
      </c>
      <c r="I768" s="216">
        <v>46119</v>
      </c>
      <c r="J768" s="36" t="s">
        <v>91</v>
      </c>
      <c r="K768" s="26" t="s">
        <v>80</v>
      </c>
      <c r="L768" s="11">
        <v>46083</v>
      </c>
      <c r="M768" s="26" t="str">
        <f ca="1">IF(Tabela4[[#This Row],[RECOMPRADO]]="RECEBIDO","LIQUIDADO",IF(O768="LIQUIDADO","LIQUIDADO",IF(I768&lt;$I$5,"VENCIDO","A VENCER")))</f>
        <v>A VENCER</v>
      </c>
      <c r="N768" s="212">
        <f ca="1">IF(Tabela4[[#This Row],[STATUS]]="LIQUIDADO","",Tabela4[[#This Row],[VCTO]]-$I$5)</f>
        <v>21</v>
      </c>
      <c r="O768" s="26"/>
      <c r="P768" s="11"/>
      <c r="Q768" s="26"/>
      <c r="R768" s="26"/>
      <c r="S768" s="26"/>
      <c r="T768" s="26"/>
      <c r="U768" s="26"/>
      <c r="V768" s="5"/>
    </row>
    <row r="769" spans="1:22">
      <c r="A769" s="26" t="s">
        <v>0</v>
      </c>
      <c r="B769" s="11">
        <v>46080</v>
      </c>
      <c r="C769" s="11" t="s">
        <v>41</v>
      </c>
      <c r="D769" s="26">
        <v>424</v>
      </c>
      <c r="E769" s="35" t="s">
        <v>97</v>
      </c>
      <c r="F769" s="26" t="s">
        <v>547</v>
      </c>
      <c r="G769" s="215">
        <v>31075299000177</v>
      </c>
      <c r="H769" s="39">
        <v>1622.5</v>
      </c>
      <c r="I769" s="216">
        <v>46126</v>
      </c>
      <c r="J769" s="36" t="s">
        <v>91</v>
      </c>
      <c r="K769" s="26" t="s">
        <v>80</v>
      </c>
      <c r="L769" s="11">
        <v>46083</v>
      </c>
      <c r="M769" s="26" t="str">
        <f ca="1">IF(Tabela4[[#This Row],[RECOMPRADO]]="RECEBIDO","LIQUIDADO",IF(O769="LIQUIDADO","LIQUIDADO",IF(I769&lt;$I$5,"VENCIDO","A VENCER")))</f>
        <v>A VENCER</v>
      </c>
      <c r="N769" s="212">
        <f ca="1">IF(Tabela4[[#This Row],[STATUS]]="LIQUIDADO","",Tabela4[[#This Row],[VCTO]]-$I$5)</f>
        <v>28</v>
      </c>
      <c r="O769" s="26"/>
      <c r="P769" s="11"/>
      <c r="Q769" s="26"/>
      <c r="R769" s="26"/>
      <c r="S769" s="26"/>
      <c r="T769" s="26"/>
      <c r="U769" s="26"/>
      <c r="V769" s="5"/>
    </row>
    <row r="770" spans="1:22">
      <c r="A770" s="26" t="s">
        <v>0</v>
      </c>
      <c r="B770" s="11">
        <v>46080</v>
      </c>
      <c r="C770" s="11" t="s">
        <v>41</v>
      </c>
      <c r="D770" s="26">
        <v>425</v>
      </c>
      <c r="E770" s="35" t="s">
        <v>92</v>
      </c>
      <c r="F770" s="26" t="s">
        <v>9</v>
      </c>
      <c r="G770" s="215">
        <v>33015943000147</v>
      </c>
      <c r="H770" s="39">
        <v>3946.67</v>
      </c>
      <c r="I770" s="216">
        <v>46112</v>
      </c>
      <c r="J770" s="36" t="s">
        <v>91</v>
      </c>
      <c r="K770" s="26" t="s">
        <v>80</v>
      </c>
      <c r="L770" s="11">
        <v>46083</v>
      </c>
      <c r="M770" s="26" t="str">
        <f ca="1">IF(Tabela4[[#This Row],[RECOMPRADO]]="RECEBIDO","LIQUIDADO",IF(O770="LIQUIDADO","LIQUIDADO",IF(I770&lt;$I$5,"VENCIDO","A VENCER")))</f>
        <v>A VENCER</v>
      </c>
      <c r="N770" s="212">
        <f ca="1">IF(Tabela4[[#This Row],[STATUS]]="LIQUIDADO","",Tabela4[[#This Row],[VCTO]]-$I$5)</f>
        <v>14</v>
      </c>
      <c r="O770" s="26"/>
      <c r="P770" s="11"/>
      <c r="Q770" s="26"/>
      <c r="R770" s="26"/>
      <c r="S770" s="26"/>
      <c r="T770" s="26"/>
      <c r="U770" s="26"/>
      <c r="V770" s="5"/>
    </row>
    <row r="771" spans="1:22">
      <c r="A771" s="26" t="s">
        <v>0</v>
      </c>
      <c r="B771" s="11">
        <v>46080</v>
      </c>
      <c r="C771" s="11" t="s">
        <v>41</v>
      </c>
      <c r="D771" s="26">
        <v>425</v>
      </c>
      <c r="E771" s="35" t="s">
        <v>95</v>
      </c>
      <c r="F771" s="26" t="s">
        <v>9</v>
      </c>
      <c r="G771" s="215">
        <v>33015943000147</v>
      </c>
      <c r="H771" s="39">
        <v>3946.67</v>
      </c>
      <c r="I771" s="216">
        <v>46119</v>
      </c>
      <c r="J771" s="36" t="s">
        <v>91</v>
      </c>
      <c r="K771" s="26" t="s">
        <v>80</v>
      </c>
      <c r="L771" s="11">
        <v>46083</v>
      </c>
      <c r="M771" s="26" t="str">
        <f ca="1">IF(Tabela4[[#This Row],[RECOMPRADO]]="RECEBIDO","LIQUIDADO",IF(O771="LIQUIDADO","LIQUIDADO",IF(I771&lt;$I$5,"VENCIDO","A VENCER")))</f>
        <v>A VENCER</v>
      </c>
      <c r="N771" s="212">
        <f ca="1">IF(Tabela4[[#This Row],[STATUS]]="LIQUIDADO","",Tabela4[[#This Row],[VCTO]]-$I$5)</f>
        <v>21</v>
      </c>
      <c r="O771" s="26"/>
      <c r="P771" s="11"/>
      <c r="Q771" s="26"/>
      <c r="R771" s="26"/>
      <c r="S771" s="26"/>
      <c r="T771" s="26"/>
      <c r="U771" s="26"/>
      <c r="V771" s="5"/>
    </row>
    <row r="772" spans="1:22">
      <c r="A772" s="26" t="s">
        <v>0</v>
      </c>
      <c r="B772" s="11">
        <v>46080</v>
      </c>
      <c r="C772" s="11" t="s">
        <v>41</v>
      </c>
      <c r="D772" s="26">
        <v>425</v>
      </c>
      <c r="E772" s="35" t="s">
        <v>96</v>
      </c>
      <c r="F772" s="26" t="s">
        <v>9</v>
      </c>
      <c r="G772" s="215">
        <v>33015943000147</v>
      </c>
      <c r="H772" s="39">
        <v>3946.67</v>
      </c>
      <c r="I772" s="216">
        <v>46126</v>
      </c>
      <c r="J772" s="36" t="s">
        <v>91</v>
      </c>
      <c r="K772" s="26" t="s">
        <v>80</v>
      </c>
      <c r="L772" s="11">
        <v>46083</v>
      </c>
      <c r="M772" s="26" t="str">
        <f ca="1">IF(Tabela4[[#This Row],[RECOMPRADO]]="RECEBIDO","LIQUIDADO",IF(O772="LIQUIDADO","LIQUIDADO",IF(I772&lt;$I$5,"VENCIDO","A VENCER")))</f>
        <v>A VENCER</v>
      </c>
      <c r="N772" s="212">
        <f ca="1">IF(Tabela4[[#This Row],[STATUS]]="LIQUIDADO","",Tabela4[[#This Row],[VCTO]]-$I$5)</f>
        <v>28</v>
      </c>
      <c r="O772" s="26"/>
      <c r="P772" s="11"/>
      <c r="Q772" s="26"/>
      <c r="R772" s="26"/>
      <c r="S772" s="26"/>
      <c r="T772" s="26"/>
      <c r="U772" s="26"/>
      <c r="V772" s="5"/>
    </row>
    <row r="773" spans="1:22">
      <c r="A773" s="26" t="s">
        <v>0</v>
      </c>
      <c r="B773" s="11">
        <v>46080</v>
      </c>
      <c r="C773" s="11" t="s">
        <v>41</v>
      </c>
      <c r="D773" s="26">
        <v>428</v>
      </c>
      <c r="E773" s="35" t="s">
        <v>92</v>
      </c>
      <c r="F773" s="26" t="s">
        <v>30</v>
      </c>
      <c r="G773" s="215">
        <v>469837610001010</v>
      </c>
      <c r="H773" s="39">
        <v>4993.33</v>
      </c>
      <c r="I773" s="216">
        <v>46112</v>
      </c>
      <c r="J773" s="36" t="s">
        <v>91</v>
      </c>
      <c r="K773" s="26" t="s">
        <v>80</v>
      </c>
      <c r="L773" s="11">
        <v>46083</v>
      </c>
      <c r="M773" s="26" t="str">
        <f ca="1">IF(Tabela4[[#This Row],[RECOMPRADO]]="RECEBIDO","LIQUIDADO",IF(O773="LIQUIDADO","LIQUIDADO",IF(I773&lt;$I$5,"VENCIDO","A VENCER")))</f>
        <v>A VENCER</v>
      </c>
      <c r="N773" s="212">
        <f ca="1">IF(Tabela4[[#This Row],[STATUS]]="LIQUIDADO","",Tabela4[[#This Row],[VCTO]]-$I$5)</f>
        <v>14</v>
      </c>
      <c r="O773" s="26"/>
      <c r="P773" s="11"/>
      <c r="Q773" s="26"/>
      <c r="R773" s="26"/>
      <c r="S773" s="26"/>
      <c r="T773" s="26"/>
      <c r="U773" s="26"/>
      <c r="V773" s="5"/>
    </row>
    <row r="774" spans="1:22">
      <c r="A774" s="26" t="s">
        <v>0</v>
      </c>
      <c r="B774" s="11">
        <v>46080</v>
      </c>
      <c r="C774" s="11" t="s">
        <v>41</v>
      </c>
      <c r="D774" s="26">
        <v>428</v>
      </c>
      <c r="E774" s="35" t="s">
        <v>95</v>
      </c>
      <c r="F774" s="26" t="s">
        <v>30</v>
      </c>
      <c r="G774" s="215">
        <v>469837610001010</v>
      </c>
      <c r="H774" s="39">
        <v>4993.33</v>
      </c>
      <c r="I774" s="216">
        <v>46119</v>
      </c>
      <c r="J774" s="36" t="s">
        <v>91</v>
      </c>
      <c r="K774" s="26" t="s">
        <v>80</v>
      </c>
      <c r="L774" s="11">
        <v>46083</v>
      </c>
      <c r="M774" s="26" t="str">
        <f ca="1">IF(Tabela4[[#This Row],[RECOMPRADO]]="RECEBIDO","LIQUIDADO",IF(O774="LIQUIDADO","LIQUIDADO",IF(I774&lt;$I$5,"VENCIDO","A VENCER")))</f>
        <v>A VENCER</v>
      </c>
      <c r="N774" s="212">
        <f ca="1">IF(Tabela4[[#This Row],[STATUS]]="LIQUIDADO","",Tabela4[[#This Row],[VCTO]]-$I$5)</f>
        <v>21</v>
      </c>
      <c r="O774" s="26"/>
      <c r="P774" s="11"/>
      <c r="Q774" s="26"/>
      <c r="R774" s="26"/>
      <c r="S774" s="26"/>
      <c r="T774" s="26"/>
      <c r="U774" s="26"/>
      <c r="V774" s="5"/>
    </row>
    <row r="775" spans="1:22">
      <c r="A775" s="26" t="s">
        <v>0</v>
      </c>
      <c r="B775" s="11">
        <v>46080</v>
      </c>
      <c r="C775" s="11" t="s">
        <v>41</v>
      </c>
      <c r="D775" s="26">
        <v>428</v>
      </c>
      <c r="E775" s="35" t="s">
        <v>96</v>
      </c>
      <c r="F775" s="26" t="s">
        <v>30</v>
      </c>
      <c r="G775" s="215">
        <v>469837610001010</v>
      </c>
      <c r="H775" s="39">
        <v>4993.33</v>
      </c>
      <c r="I775" s="216">
        <v>46126</v>
      </c>
      <c r="J775" s="36" t="s">
        <v>91</v>
      </c>
      <c r="K775" s="26" t="s">
        <v>80</v>
      </c>
      <c r="L775" s="11">
        <v>46083</v>
      </c>
      <c r="M775" s="26" t="str">
        <f ca="1">IF(Tabela4[[#This Row],[RECOMPRADO]]="RECEBIDO","LIQUIDADO",IF(O775="LIQUIDADO","LIQUIDADO",IF(I775&lt;$I$5,"VENCIDO","A VENCER")))</f>
        <v>A VENCER</v>
      </c>
      <c r="N775" s="212">
        <f ca="1">IF(Tabela4[[#This Row],[STATUS]]="LIQUIDADO","",Tabela4[[#This Row],[VCTO]]-$I$5)</f>
        <v>28</v>
      </c>
      <c r="O775" s="26"/>
      <c r="P775" s="11"/>
      <c r="Q775" s="26"/>
      <c r="R775" s="26"/>
      <c r="S775" s="26"/>
      <c r="T775" s="26"/>
      <c r="U775" s="26"/>
      <c r="V775" s="5"/>
    </row>
    <row r="776" spans="1:22">
      <c r="A776" s="26" t="s">
        <v>0</v>
      </c>
      <c r="B776" s="11">
        <v>46080</v>
      </c>
      <c r="C776" s="11" t="s">
        <v>41</v>
      </c>
      <c r="D776" s="26">
        <v>408</v>
      </c>
      <c r="E776" s="35" t="s">
        <v>92</v>
      </c>
      <c r="F776" s="26" t="s">
        <v>512</v>
      </c>
      <c r="G776" s="215">
        <v>8177864000195</v>
      </c>
      <c r="H776" s="39">
        <v>2929.67</v>
      </c>
      <c r="I776" s="216">
        <v>46101</v>
      </c>
      <c r="J776" s="36" t="s">
        <v>91</v>
      </c>
      <c r="K776" s="26" t="s">
        <v>73</v>
      </c>
      <c r="L776" s="11">
        <v>46080</v>
      </c>
      <c r="M776" s="26" t="str">
        <f ca="1">IF(Tabela4[[#This Row],[RECOMPRADO]]="RECEBIDO","LIQUIDADO",IF(O776="LIQUIDADO","LIQUIDADO",IF(I776&lt;$I$5,"VENCIDO","A VENCER")))</f>
        <v>A VENCER</v>
      </c>
      <c r="N776" s="212">
        <f ca="1">IF(Tabela4[[#This Row],[STATUS]]="LIQUIDADO","",Tabela4[[#This Row],[VCTO]]-$I$5)</f>
        <v>3</v>
      </c>
      <c r="O776" s="26"/>
      <c r="P776" s="11"/>
      <c r="Q776" s="26"/>
      <c r="R776" s="26"/>
      <c r="S776" s="26"/>
      <c r="T776" s="26" t="s">
        <v>205</v>
      </c>
      <c r="U776" s="26"/>
      <c r="V776" s="5"/>
    </row>
    <row r="777" spans="1:22">
      <c r="A777" s="26" t="s">
        <v>0</v>
      </c>
      <c r="B777" s="11">
        <v>46080</v>
      </c>
      <c r="C777" s="11" t="s">
        <v>41</v>
      </c>
      <c r="D777" s="26">
        <v>408</v>
      </c>
      <c r="E777" s="35" t="s">
        <v>95</v>
      </c>
      <c r="F777" s="26" t="s">
        <v>512</v>
      </c>
      <c r="G777" s="215">
        <v>8177864000195</v>
      </c>
      <c r="H777" s="39">
        <v>2929.67</v>
      </c>
      <c r="I777" s="216">
        <v>46108</v>
      </c>
      <c r="J777" s="36" t="s">
        <v>91</v>
      </c>
      <c r="K777" s="26" t="s">
        <v>73</v>
      </c>
      <c r="L777" s="11">
        <v>46080</v>
      </c>
      <c r="M777" s="26" t="str">
        <f ca="1">IF(Tabela4[[#This Row],[RECOMPRADO]]="RECEBIDO","LIQUIDADO",IF(O777="LIQUIDADO","LIQUIDADO",IF(I777&lt;$I$5,"VENCIDO","A VENCER")))</f>
        <v>A VENCER</v>
      </c>
      <c r="N777" s="212">
        <f ca="1">IF(Tabela4[[#This Row],[STATUS]]="LIQUIDADO","",Tabela4[[#This Row],[VCTO]]-$I$5)</f>
        <v>10</v>
      </c>
      <c r="O777" s="26"/>
      <c r="P777" s="11"/>
      <c r="Q777" s="26"/>
      <c r="R777" s="26"/>
      <c r="S777" s="26"/>
      <c r="T777" s="26" t="s">
        <v>205</v>
      </c>
      <c r="U777" s="26"/>
      <c r="V777" s="5"/>
    </row>
    <row r="778" spans="1:22">
      <c r="A778" s="26" t="s">
        <v>0</v>
      </c>
      <c r="B778" s="11">
        <v>46080</v>
      </c>
      <c r="C778" s="11" t="s">
        <v>41</v>
      </c>
      <c r="D778" s="26">
        <v>408</v>
      </c>
      <c r="E778" s="35" t="s">
        <v>96</v>
      </c>
      <c r="F778" s="26" t="s">
        <v>512</v>
      </c>
      <c r="G778" s="215">
        <v>8177864000195</v>
      </c>
      <c r="H778" s="39">
        <v>2929.67</v>
      </c>
      <c r="I778" s="216">
        <v>46115</v>
      </c>
      <c r="J778" s="36" t="s">
        <v>91</v>
      </c>
      <c r="K778" s="26" t="s">
        <v>73</v>
      </c>
      <c r="L778" s="11">
        <v>46080</v>
      </c>
      <c r="M778" s="26" t="str">
        <f ca="1">IF(Tabela4[[#This Row],[RECOMPRADO]]="RECEBIDO","LIQUIDADO",IF(O778="LIQUIDADO","LIQUIDADO",IF(I778&lt;$I$5,"VENCIDO","A VENCER")))</f>
        <v>A VENCER</v>
      </c>
      <c r="N778" s="212">
        <f ca="1">IF(Tabela4[[#This Row],[STATUS]]="LIQUIDADO","",Tabela4[[#This Row],[VCTO]]-$I$5)</f>
        <v>17</v>
      </c>
      <c r="O778" s="26"/>
      <c r="P778" s="11"/>
      <c r="Q778" s="26"/>
      <c r="R778" s="26"/>
      <c r="S778" s="26"/>
      <c r="T778" s="26" t="s">
        <v>548</v>
      </c>
      <c r="U778" s="26"/>
      <c r="V778" s="5"/>
    </row>
    <row r="779" spans="1:22">
      <c r="A779" s="26" t="s">
        <v>0</v>
      </c>
      <c r="B779" s="11">
        <v>46080</v>
      </c>
      <c r="C779" s="11" t="s">
        <v>41</v>
      </c>
      <c r="D779" s="26">
        <v>423</v>
      </c>
      <c r="E779" s="35" t="s">
        <v>92</v>
      </c>
      <c r="F779" s="26" t="s">
        <v>549</v>
      </c>
      <c r="G779" s="215">
        <v>54269986000129</v>
      </c>
      <c r="H779" s="39">
        <v>1835</v>
      </c>
      <c r="I779" s="216">
        <v>46112</v>
      </c>
      <c r="J779" s="36" t="s">
        <v>91</v>
      </c>
      <c r="K779" s="26" t="s">
        <v>73</v>
      </c>
      <c r="L779" s="11">
        <v>46080</v>
      </c>
      <c r="M779" s="26" t="str">
        <f ca="1">IF(Tabela4[[#This Row],[RECOMPRADO]]="RECEBIDO","LIQUIDADO",IF(O779="LIQUIDADO","LIQUIDADO",IF(I779&lt;$I$5,"VENCIDO","A VENCER")))</f>
        <v>A VENCER</v>
      </c>
      <c r="N779" s="212">
        <f ca="1">IF(Tabela4[[#This Row],[STATUS]]="LIQUIDADO","",Tabela4[[#This Row],[VCTO]]-$I$5)</f>
        <v>14</v>
      </c>
      <c r="O779" s="26"/>
      <c r="P779" s="11"/>
      <c r="Q779" s="26"/>
      <c r="R779" s="26"/>
      <c r="S779" s="26"/>
      <c r="T779" s="26" t="s">
        <v>205</v>
      </c>
      <c r="U779" s="26"/>
      <c r="V779" s="5"/>
    </row>
    <row r="780" spans="1:22">
      <c r="A780" s="26" t="s">
        <v>0</v>
      </c>
      <c r="B780" s="11">
        <v>46080</v>
      </c>
      <c r="C780" s="11" t="s">
        <v>41</v>
      </c>
      <c r="D780" s="26">
        <v>423</v>
      </c>
      <c r="E780" s="35" t="s">
        <v>95</v>
      </c>
      <c r="F780" s="26" t="s">
        <v>549</v>
      </c>
      <c r="G780" s="215">
        <v>54269986000129</v>
      </c>
      <c r="H780" s="39">
        <v>1835</v>
      </c>
      <c r="I780" s="216">
        <v>46119</v>
      </c>
      <c r="J780" s="36" t="s">
        <v>91</v>
      </c>
      <c r="K780" s="26" t="s">
        <v>73</v>
      </c>
      <c r="L780" s="11">
        <v>46080</v>
      </c>
      <c r="M780" s="26" t="str">
        <f ca="1">IF(Tabela4[[#This Row],[RECOMPRADO]]="RECEBIDO","LIQUIDADO",IF(O780="LIQUIDADO","LIQUIDADO",IF(I780&lt;$I$5,"VENCIDO","A VENCER")))</f>
        <v>A VENCER</v>
      </c>
      <c r="N780" s="212">
        <f ca="1">IF(Tabela4[[#This Row],[STATUS]]="LIQUIDADO","",Tabela4[[#This Row],[VCTO]]-$I$5)</f>
        <v>21</v>
      </c>
      <c r="O780" s="26"/>
      <c r="P780" s="11"/>
      <c r="Q780" s="26"/>
      <c r="R780" s="26"/>
      <c r="S780" s="26"/>
      <c r="T780" s="26" t="s">
        <v>205</v>
      </c>
      <c r="U780" s="26"/>
      <c r="V780" s="5"/>
    </row>
    <row r="781" spans="1:22">
      <c r="A781" s="26" t="s">
        <v>0</v>
      </c>
      <c r="B781" s="11">
        <v>46080</v>
      </c>
      <c r="C781" s="11" t="s">
        <v>41</v>
      </c>
      <c r="D781" s="26">
        <v>426</v>
      </c>
      <c r="E781" s="35" t="s">
        <v>92</v>
      </c>
      <c r="F781" s="26" t="s">
        <v>550</v>
      </c>
      <c r="G781" s="215">
        <v>52867898000101</v>
      </c>
      <c r="H781" s="39">
        <v>2900</v>
      </c>
      <c r="I781" s="216">
        <v>46112</v>
      </c>
      <c r="J781" s="36" t="s">
        <v>91</v>
      </c>
      <c r="K781" s="26" t="s">
        <v>73</v>
      </c>
      <c r="L781" s="11">
        <v>46080</v>
      </c>
      <c r="M781" s="26" t="str">
        <f ca="1">IF(Tabela4[[#This Row],[RECOMPRADO]]="RECEBIDO","LIQUIDADO",IF(O781="LIQUIDADO","LIQUIDADO",IF(I781&lt;$I$5,"VENCIDO","A VENCER")))</f>
        <v>A VENCER</v>
      </c>
      <c r="N781" s="212">
        <f ca="1">IF(Tabela4[[#This Row],[STATUS]]="LIQUIDADO","",Tabela4[[#This Row],[VCTO]]-$I$5)</f>
        <v>14</v>
      </c>
      <c r="O781" s="26"/>
      <c r="P781" s="11"/>
      <c r="Q781" s="26"/>
      <c r="R781" s="26"/>
      <c r="S781" s="26"/>
      <c r="T781" s="26" t="s">
        <v>205</v>
      </c>
      <c r="U781" s="26"/>
      <c r="V781" s="5"/>
    </row>
    <row r="782" spans="1:22">
      <c r="A782" s="26" t="s">
        <v>0</v>
      </c>
      <c r="B782" s="11">
        <v>46080</v>
      </c>
      <c r="C782" s="11" t="s">
        <v>41</v>
      </c>
      <c r="D782" s="26">
        <v>426</v>
      </c>
      <c r="E782" s="35" t="s">
        <v>95</v>
      </c>
      <c r="F782" s="26" t="s">
        <v>550</v>
      </c>
      <c r="G782" s="215">
        <v>52867898000101</v>
      </c>
      <c r="H782" s="39">
        <v>2900</v>
      </c>
      <c r="I782" s="216">
        <v>46119</v>
      </c>
      <c r="J782" s="36" t="s">
        <v>91</v>
      </c>
      <c r="K782" s="26" t="s">
        <v>73</v>
      </c>
      <c r="L782" s="11">
        <v>46080</v>
      </c>
      <c r="M782" s="26" t="str">
        <f ca="1">IF(Tabela4[[#This Row],[RECOMPRADO]]="RECEBIDO","LIQUIDADO",IF(O782="LIQUIDADO","LIQUIDADO",IF(I782&lt;$I$5,"VENCIDO","A VENCER")))</f>
        <v>A VENCER</v>
      </c>
      <c r="N782" s="212">
        <f ca="1">IF(Tabela4[[#This Row],[STATUS]]="LIQUIDADO","",Tabela4[[#This Row],[VCTO]]-$I$5)</f>
        <v>21</v>
      </c>
      <c r="O782" s="26"/>
      <c r="P782" s="11"/>
      <c r="Q782" s="26"/>
      <c r="R782" s="26"/>
      <c r="S782" s="26"/>
      <c r="T782" s="26" t="s">
        <v>205</v>
      </c>
      <c r="U782" s="26"/>
      <c r="V782" s="5"/>
    </row>
    <row r="783" spans="1:22">
      <c r="A783" s="26" t="s">
        <v>0</v>
      </c>
      <c r="B783" s="11">
        <v>46080</v>
      </c>
      <c r="C783" s="11" t="s">
        <v>41</v>
      </c>
      <c r="D783" s="26">
        <v>426</v>
      </c>
      <c r="E783" s="35" t="s">
        <v>96</v>
      </c>
      <c r="F783" s="26" t="s">
        <v>550</v>
      </c>
      <c r="G783" s="215">
        <v>52867898000101</v>
      </c>
      <c r="H783" s="39">
        <v>2900</v>
      </c>
      <c r="I783" s="216">
        <v>46126</v>
      </c>
      <c r="J783" s="36" t="s">
        <v>91</v>
      </c>
      <c r="K783" s="26" t="s">
        <v>73</v>
      </c>
      <c r="L783" s="11">
        <v>46080</v>
      </c>
      <c r="M783" s="26" t="str">
        <f ca="1">IF(Tabela4[[#This Row],[RECOMPRADO]]="RECEBIDO","LIQUIDADO",IF(O783="LIQUIDADO","LIQUIDADO",IF(I783&lt;$I$5,"VENCIDO","A VENCER")))</f>
        <v>A VENCER</v>
      </c>
      <c r="N783" s="212">
        <f ca="1">IF(Tabela4[[#This Row],[STATUS]]="LIQUIDADO","",Tabela4[[#This Row],[VCTO]]-$I$5)</f>
        <v>28</v>
      </c>
      <c r="O783" s="26"/>
      <c r="P783" s="11"/>
      <c r="Q783" s="26"/>
      <c r="R783" s="26"/>
      <c r="S783" s="26"/>
      <c r="T783" s="26" t="s">
        <v>205</v>
      </c>
      <c r="U783" s="26"/>
      <c r="V783" s="5"/>
    </row>
    <row r="784" spans="1:22">
      <c r="A784" s="26" t="s">
        <v>0</v>
      </c>
      <c r="B784" s="11">
        <v>46080</v>
      </c>
      <c r="C784" s="11" t="s">
        <v>41</v>
      </c>
      <c r="D784" s="26">
        <v>427</v>
      </c>
      <c r="E784" s="35" t="s">
        <v>92</v>
      </c>
      <c r="F784" s="26" t="s">
        <v>551</v>
      </c>
      <c r="G784" s="215">
        <v>4586744000190</v>
      </c>
      <c r="H784" s="39">
        <v>8219</v>
      </c>
      <c r="I784" s="216">
        <v>46122</v>
      </c>
      <c r="J784" s="36" t="s">
        <v>91</v>
      </c>
      <c r="K784" s="26" t="s">
        <v>73</v>
      </c>
      <c r="L784" s="11">
        <v>46080</v>
      </c>
      <c r="M784" s="26" t="str">
        <f ca="1">IF(Tabela4[[#This Row],[RECOMPRADO]]="RECEBIDO","LIQUIDADO",IF(O784="LIQUIDADO","LIQUIDADO",IF(I784&lt;$I$5,"VENCIDO","A VENCER")))</f>
        <v>A VENCER</v>
      </c>
      <c r="N784" s="212">
        <f ca="1">IF(Tabela4[[#This Row],[STATUS]]="LIQUIDADO","",Tabela4[[#This Row],[VCTO]]-$I$5)</f>
        <v>24</v>
      </c>
      <c r="O784" s="26"/>
      <c r="P784" s="11"/>
      <c r="Q784" s="26"/>
      <c r="R784" s="26"/>
      <c r="S784" s="26"/>
      <c r="T784" s="26" t="s">
        <v>205</v>
      </c>
      <c r="U784" s="26"/>
      <c r="V784" s="5"/>
    </row>
    <row r="785" spans="1:22">
      <c r="A785" s="26" t="s">
        <v>0</v>
      </c>
      <c r="B785" s="11">
        <v>46080</v>
      </c>
      <c r="C785" s="11" t="s">
        <v>41</v>
      </c>
      <c r="D785" s="26">
        <v>429</v>
      </c>
      <c r="E785" s="35" t="s">
        <v>92</v>
      </c>
      <c r="F785" s="26" t="s">
        <v>552</v>
      </c>
      <c r="G785" s="215">
        <v>6119385000197</v>
      </c>
      <c r="H785" s="39">
        <v>1839.6</v>
      </c>
      <c r="I785" s="216">
        <v>46112</v>
      </c>
      <c r="J785" s="36" t="s">
        <v>91</v>
      </c>
      <c r="K785" s="26" t="s">
        <v>73</v>
      </c>
      <c r="L785" s="11">
        <v>46080</v>
      </c>
      <c r="M785" s="26" t="str">
        <f ca="1">IF(Tabela4[[#This Row],[RECOMPRADO]]="RECEBIDO","LIQUIDADO",IF(O785="LIQUIDADO","LIQUIDADO",IF(I785&lt;$I$5,"VENCIDO","A VENCER")))</f>
        <v>A VENCER</v>
      </c>
      <c r="N785" s="212">
        <f ca="1">IF(Tabela4[[#This Row],[STATUS]]="LIQUIDADO","",Tabela4[[#This Row],[VCTO]]-$I$5)</f>
        <v>14</v>
      </c>
      <c r="O785" s="26"/>
      <c r="P785" s="11"/>
      <c r="Q785" s="26"/>
      <c r="R785" s="26"/>
      <c r="S785" s="26"/>
      <c r="T785" s="26" t="s">
        <v>205</v>
      </c>
      <c r="U785" s="26"/>
      <c r="V785" s="5"/>
    </row>
    <row r="786" spans="1:22">
      <c r="A786" s="26" t="s">
        <v>0</v>
      </c>
      <c r="B786" s="11">
        <v>46080</v>
      </c>
      <c r="C786" s="11" t="s">
        <v>41</v>
      </c>
      <c r="D786" s="26">
        <v>429</v>
      </c>
      <c r="E786" s="35" t="s">
        <v>95</v>
      </c>
      <c r="F786" s="26" t="s">
        <v>552</v>
      </c>
      <c r="G786" s="215">
        <v>6119385000197</v>
      </c>
      <c r="H786" s="39">
        <v>1839.6</v>
      </c>
      <c r="I786" s="216">
        <v>46119</v>
      </c>
      <c r="J786" s="36" t="s">
        <v>91</v>
      </c>
      <c r="K786" s="26" t="s">
        <v>73</v>
      </c>
      <c r="L786" s="11">
        <v>46080</v>
      </c>
      <c r="M786" s="26" t="str">
        <f ca="1">IF(Tabela4[[#This Row],[RECOMPRADO]]="RECEBIDO","LIQUIDADO",IF(O786="LIQUIDADO","LIQUIDADO",IF(I786&lt;$I$5,"VENCIDO","A VENCER")))</f>
        <v>A VENCER</v>
      </c>
      <c r="N786" s="212">
        <f ca="1">IF(Tabela4[[#This Row],[STATUS]]="LIQUIDADO","",Tabela4[[#This Row],[VCTO]]-$I$5)</f>
        <v>21</v>
      </c>
      <c r="O786" s="26"/>
      <c r="P786" s="11"/>
      <c r="Q786" s="26"/>
      <c r="R786" s="26"/>
      <c r="S786" s="26"/>
      <c r="T786" s="26" t="s">
        <v>205</v>
      </c>
      <c r="U786" s="26"/>
      <c r="V786" s="5"/>
    </row>
    <row r="787" spans="1:22">
      <c r="A787" s="26" t="s">
        <v>0</v>
      </c>
      <c r="B787" s="11">
        <v>46080</v>
      </c>
      <c r="C787" s="11" t="s">
        <v>41</v>
      </c>
      <c r="D787" s="26">
        <v>429</v>
      </c>
      <c r="E787" s="35" t="s">
        <v>96</v>
      </c>
      <c r="F787" s="26" t="s">
        <v>552</v>
      </c>
      <c r="G787" s="215">
        <v>6119385000197</v>
      </c>
      <c r="H787" s="39">
        <v>1839.6</v>
      </c>
      <c r="I787" s="216">
        <v>46126</v>
      </c>
      <c r="J787" s="36" t="s">
        <v>91</v>
      </c>
      <c r="K787" s="26" t="s">
        <v>73</v>
      </c>
      <c r="L787" s="11">
        <v>46080</v>
      </c>
      <c r="M787" s="26" t="str">
        <f ca="1">IF(Tabela4[[#This Row],[RECOMPRADO]]="RECEBIDO","LIQUIDADO",IF(O787="LIQUIDADO","LIQUIDADO",IF(I787&lt;$I$5,"VENCIDO","A VENCER")))</f>
        <v>A VENCER</v>
      </c>
      <c r="N787" s="212">
        <f ca="1">IF(Tabela4[[#This Row],[STATUS]]="LIQUIDADO","",Tabela4[[#This Row],[VCTO]]-$I$5)</f>
        <v>28</v>
      </c>
      <c r="O787" s="26"/>
      <c r="P787" s="11"/>
      <c r="Q787" s="26"/>
      <c r="R787" s="26"/>
      <c r="S787" s="26"/>
      <c r="T787" s="26" t="s">
        <v>205</v>
      </c>
      <c r="U787" s="26"/>
      <c r="V787" s="5"/>
    </row>
    <row r="788" spans="1:22">
      <c r="A788" s="26" t="s">
        <v>0</v>
      </c>
      <c r="B788" s="11">
        <v>46080</v>
      </c>
      <c r="C788" s="11" t="s">
        <v>41</v>
      </c>
      <c r="D788" s="26">
        <v>429</v>
      </c>
      <c r="E788" s="35" t="s">
        <v>97</v>
      </c>
      <c r="F788" s="26" t="s">
        <v>552</v>
      </c>
      <c r="G788" s="215">
        <v>6119385000197</v>
      </c>
      <c r="H788" s="39">
        <v>1839.6</v>
      </c>
      <c r="I788" s="216">
        <v>46133</v>
      </c>
      <c r="J788" s="36" t="s">
        <v>91</v>
      </c>
      <c r="K788" s="26" t="s">
        <v>73</v>
      </c>
      <c r="L788" s="11">
        <v>46080</v>
      </c>
      <c r="M788" s="26" t="str">
        <f ca="1">IF(Tabela4[[#This Row],[RECOMPRADO]]="RECEBIDO","LIQUIDADO",IF(O788="LIQUIDADO","LIQUIDADO",IF(I788&lt;$I$5,"VENCIDO","A VENCER")))</f>
        <v>A VENCER</v>
      </c>
      <c r="N788" s="212">
        <f ca="1">IF(Tabela4[[#This Row],[STATUS]]="LIQUIDADO","",Tabela4[[#This Row],[VCTO]]-$I$5)</f>
        <v>35</v>
      </c>
      <c r="O788" s="26"/>
      <c r="P788" s="11"/>
      <c r="Q788" s="26"/>
      <c r="R788" s="26"/>
      <c r="S788" s="26"/>
      <c r="T788" s="26" t="s">
        <v>205</v>
      </c>
      <c r="U788" s="26"/>
      <c r="V788" s="5"/>
    </row>
    <row r="789" spans="1:22">
      <c r="A789" s="26" t="s">
        <v>0</v>
      </c>
      <c r="B789" s="11">
        <v>46080</v>
      </c>
      <c r="C789" s="11" t="s">
        <v>41</v>
      </c>
      <c r="D789" s="26">
        <v>429</v>
      </c>
      <c r="E789" s="35" t="s">
        <v>98</v>
      </c>
      <c r="F789" s="26" t="s">
        <v>552</v>
      </c>
      <c r="G789" s="215">
        <v>6119385000197</v>
      </c>
      <c r="H789" s="39">
        <v>1839.6</v>
      </c>
      <c r="I789" s="216">
        <v>46140</v>
      </c>
      <c r="J789" s="36" t="s">
        <v>91</v>
      </c>
      <c r="K789" s="26" t="s">
        <v>73</v>
      </c>
      <c r="L789" s="11">
        <v>46080</v>
      </c>
      <c r="M789" s="26" t="str">
        <f ca="1">IF(Tabela4[[#This Row],[RECOMPRADO]]="RECEBIDO","LIQUIDADO",IF(O789="LIQUIDADO","LIQUIDADO",IF(I789&lt;$I$5,"VENCIDO","A VENCER")))</f>
        <v>A VENCER</v>
      </c>
      <c r="N789" s="212">
        <f ca="1">IF(Tabela4[[#This Row],[STATUS]]="LIQUIDADO","",Tabela4[[#This Row],[VCTO]]-$I$5)</f>
        <v>42</v>
      </c>
      <c r="O789" s="26"/>
      <c r="P789" s="11"/>
      <c r="Q789" s="26"/>
      <c r="R789" s="26"/>
      <c r="S789" s="26"/>
      <c r="T789" s="26" t="s">
        <v>205</v>
      </c>
      <c r="U789" s="26"/>
      <c r="V789" s="5"/>
    </row>
    <row r="790" spans="1:22">
      <c r="A790" s="26" t="s">
        <v>0</v>
      </c>
      <c r="B790" s="11">
        <v>46080</v>
      </c>
      <c r="C790" s="11" t="s">
        <v>41</v>
      </c>
      <c r="D790" s="26">
        <v>430</v>
      </c>
      <c r="E790" s="35" t="s">
        <v>92</v>
      </c>
      <c r="F790" s="26" t="s">
        <v>553</v>
      </c>
      <c r="G790" s="215">
        <v>29937974000188</v>
      </c>
      <c r="H790" s="39">
        <v>6905.72</v>
      </c>
      <c r="I790" s="216">
        <v>46112</v>
      </c>
      <c r="J790" s="36" t="s">
        <v>91</v>
      </c>
      <c r="K790" s="26" t="s">
        <v>73</v>
      </c>
      <c r="L790" s="11">
        <v>46080</v>
      </c>
      <c r="M790" s="26" t="str">
        <f ca="1">IF(Tabela4[[#This Row],[RECOMPRADO]]="RECEBIDO","LIQUIDADO",IF(O790="LIQUIDADO","LIQUIDADO",IF(I790&lt;$I$5,"VENCIDO","A VENCER")))</f>
        <v>A VENCER</v>
      </c>
      <c r="N790" s="212">
        <f ca="1">IF(Tabela4[[#This Row],[STATUS]]="LIQUIDADO","",Tabela4[[#This Row],[VCTO]]-$I$5)</f>
        <v>14</v>
      </c>
      <c r="O790" s="26"/>
      <c r="P790" s="11"/>
      <c r="Q790" s="26"/>
      <c r="R790" s="26"/>
      <c r="S790" s="26"/>
      <c r="T790" s="26" t="s">
        <v>205</v>
      </c>
      <c r="U790" s="26"/>
      <c r="V790" s="5"/>
    </row>
    <row r="791" spans="1:22">
      <c r="A791" s="26" t="s">
        <v>0</v>
      </c>
      <c r="B791" s="11">
        <v>46080</v>
      </c>
      <c r="C791" s="11" t="s">
        <v>41</v>
      </c>
      <c r="D791" s="26">
        <v>430</v>
      </c>
      <c r="E791" s="35" t="s">
        <v>95</v>
      </c>
      <c r="F791" s="26" t="s">
        <v>553</v>
      </c>
      <c r="G791" s="215">
        <v>29937974000188</v>
      </c>
      <c r="H791" s="39">
        <v>3274.82</v>
      </c>
      <c r="I791" s="216">
        <v>46119</v>
      </c>
      <c r="J791" s="36" t="s">
        <v>91</v>
      </c>
      <c r="K791" s="26" t="s">
        <v>73</v>
      </c>
      <c r="L791" s="11">
        <v>46080</v>
      </c>
      <c r="M791" s="26" t="str">
        <f ca="1">IF(Tabela4[[#This Row],[RECOMPRADO]]="RECEBIDO","LIQUIDADO",IF(O791="LIQUIDADO","LIQUIDADO",IF(I791&lt;$I$5,"VENCIDO","A VENCER")))</f>
        <v>A VENCER</v>
      </c>
      <c r="N791" s="212">
        <f ca="1">IF(Tabela4[[#This Row],[STATUS]]="LIQUIDADO","",Tabela4[[#This Row],[VCTO]]-$I$5)</f>
        <v>21</v>
      </c>
      <c r="O791" s="26"/>
      <c r="P791" s="11"/>
      <c r="Q791" s="26"/>
      <c r="R791" s="26"/>
      <c r="S791" s="26"/>
      <c r="T791" s="26" t="s">
        <v>205</v>
      </c>
      <c r="U791" s="26"/>
      <c r="V791" s="5"/>
    </row>
    <row r="792" spans="1:22">
      <c r="A792" s="26" t="s">
        <v>0</v>
      </c>
      <c r="B792" s="11">
        <v>46080</v>
      </c>
      <c r="C792" s="11" t="s">
        <v>41</v>
      </c>
      <c r="D792" s="26">
        <v>430</v>
      </c>
      <c r="E792" s="35" t="s">
        <v>96</v>
      </c>
      <c r="F792" s="26" t="s">
        <v>553</v>
      </c>
      <c r="G792" s="215">
        <v>29937974000188</v>
      </c>
      <c r="H792" s="39">
        <v>3274.82</v>
      </c>
      <c r="I792" s="216">
        <v>46126</v>
      </c>
      <c r="J792" s="36" t="s">
        <v>91</v>
      </c>
      <c r="K792" s="26" t="s">
        <v>73</v>
      </c>
      <c r="L792" s="11">
        <v>46080</v>
      </c>
      <c r="M792" s="26" t="str">
        <f ca="1">IF(Tabela4[[#This Row],[RECOMPRADO]]="RECEBIDO","LIQUIDADO",IF(O792="LIQUIDADO","LIQUIDADO",IF(I792&lt;$I$5,"VENCIDO","A VENCER")))</f>
        <v>A VENCER</v>
      </c>
      <c r="N792" s="212">
        <f ca="1">IF(Tabela4[[#This Row],[STATUS]]="LIQUIDADO","",Tabela4[[#This Row],[VCTO]]-$I$5)</f>
        <v>28</v>
      </c>
      <c r="O792" s="26"/>
      <c r="P792" s="11"/>
      <c r="Q792" s="26"/>
      <c r="R792" s="26"/>
      <c r="S792" s="26"/>
      <c r="T792" s="26" t="s">
        <v>205</v>
      </c>
      <c r="U792" s="26"/>
      <c r="V792" s="5"/>
    </row>
    <row r="793" spans="1:22">
      <c r="A793" s="26" t="s">
        <v>0</v>
      </c>
      <c r="B793" s="11">
        <v>46080</v>
      </c>
      <c r="C793" s="11" t="s">
        <v>41</v>
      </c>
      <c r="D793" s="26">
        <v>430</v>
      </c>
      <c r="E793" s="35" t="s">
        <v>97</v>
      </c>
      <c r="F793" s="26" t="s">
        <v>553</v>
      </c>
      <c r="G793" s="215">
        <v>29937974000188</v>
      </c>
      <c r="H793" s="39">
        <v>3274.82</v>
      </c>
      <c r="I793" s="216">
        <v>46133</v>
      </c>
      <c r="J793" s="36" t="s">
        <v>91</v>
      </c>
      <c r="K793" s="26" t="s">
        <v>73</v>
      </c>
      <c r="L793" s="11">
        <v>46080</v>
      </c>
      <c r="M793" s="26" t="str">
        <f ca="1">IF(Tabela4[[#This Row],[RECOMPRADO]]="RECEBIDO","LIQUIDADO",IF(O793="LIQUIDADO","LIQUIDADO",IF(I793&lt;$I$5,"VENCIDO","A VENCER")))</f>
        <v>A VENCER</v>
      </c>
      <c r="N793" s="212">
        <f ca="1">IF(Tabela4[[#This Row],[STATUS]]="LIQUIDADO","",Tabela4[[#This Row],[VCTO]]-$I$5)</f>
        <v>35</v>
      </c>
      <c r="O793" s="26"/>
      <c r="P793" s="11"/>
      <c r="Q793" s="26"/>
      <c r="R793" s="26"/>
      <c r="S793" s="26"/>
      <c r="T793" s="26" t="s">
        <v>205</v>
      </c>
      <c r="U793" s="26"/>
      <c r="V793" s="5"/>
    </row>
    <row r="794" spans="1:22">
      <c r="A794" s="26" t="s">
        <v>0</v>
      </c>
      <c r="B794" s="11">
        <v>46080</v>
      </c>
      <c r="C794" s="11" t="s">
        <v>41</v>
      </c>
      <c r="D794" s="26">
        <v>430</v>
      </c>
      <c r="E794" s="35" t="s">
        <v>98</v>
      </c>
      <c r="F794" s="26" t="s">
        <v>553</v>
      </c>
      <c r="G794" s="215">
        <v>29937974000188</v>
      </c>
      <c r="H794" s="39">
        <v>3274.82</v>
      </c>
      <c r="I794" s="216">
        <v>46140</v>
      </c>
      <c r="J794" s="36" t="s">
        <v>91</v>
      </c>
      <c r="K794" s="26" t="s">
        <v>73</v>
      </c>
      <c r="L794" s="11">
        <v>46080</v>
      </c>
      <c r="M794" s="26" t="str">
        <f ca="1">IF(Tabela4[[#This Row],[RECOMPRADO]]="RECEBIDO","LIQUIDADO",IF(O794="LIQUIDADO","LIQUIDADO",IF(I794&lt;$I$5,"VENCIDO","A VENCER")))</f>
        <v>A VENCER</v>
      </c>
      <c r="N794" s="212">
        <f ca="1">IF(Tabela4[[#This Row],[STATUS]]="LIQUIDADO","",Tabela4[[#This Row],[VCTO]]-$I$5)</f>
        <v>42</v>
      </c>
      <c r="O794" s="26"/>
      <c r="P794" s="11"/>
      <c r="Q794" s="26"/>
      <c r="R794" s="26"/>
      <c r="S794" s="26"/>
      <c r="T794" s="26" t="s">
        <v>205</v>
      </c>
      <c r="U794" s="26"/>
      <c r="V794" s="5"/>
    </row>
    <row r="795" spans="1:22">
      <c r="A795" s="26" t="s">
        <v>108</v>
      </c>
      <c r="B795" s="11">
        <v>46080</v>
      </c>
      <c r="C795" s="11" t="s">
        <v>41</v>
      </c>
      <c r="D795" s="26">
        <v>718</v>
      </c>
      <c r="E795" s="35" t="s">
        <v>92</v>
      </c>
      <c r="F795" s="26" t="s">
        <v>554</v>
      </c>
      <c r="G795" s="215">
        <v>4595876200133</v>
      </c>
      <c r="H795" s="39">
        <v>3151.67</v>
      </c>
      <c r="I795" s="216">
        <v>46112</v>
      </c>
      <c r="J795" s="36" t="s">
        <v>91</v>
      </c>
      <c r="K795" s="26" t="s">
        <v>73</v>
      </c>
      <c r="L795" s="11">
        <v>46080</v>
      </c>
      <c r="M795" s="26" t="str">
        <f ca="1">IF(Tabela4[[#This Row],[RECOMPRADO]]="RECEBIDO","LIQUIDADO",IF(O795="LIQUIDADO","LIQUIDADO",IF(I795&lt;$I$5,"VENCIDO","A VENCER")))</f>
        <v>A VENCER</v>
      </c>
      <c r="N795" s="212">
        <f ca="1">IF(Tabela4[[#This Row],[STATUS]]="LIQUIDADO","",Tabela4[[#This Row],[VCTO]]-$I$5)</f>
        <v>14</v>
      </c>
      <c r="O795" s="26"/>
      <c r="P795" s="11"/>
      <c r="Q795" s="26"/>
      <c r="R795" s="26"/>
      <c r="S795" s="26"/>
      <c r="T795" s="26" t="s">
        <v>651</v>
      </c>
      <c r="U795" s="26"/>
      <c r="V795" s="5"/>
    </row>
    <row r="796" spans="1:22">
      <c r="A796" s="26" t="s">
        <v>108</v>
      </c>
      <c r="B796" s="11">
        <v>46080</v>
      </c>
      <c r="C796" s="11" t="s">
        <v>41</v>
      </c>
      <c r="D796" s="26">
        <v>718</v>
      </c>
      <c r="E796" s="35" t="s">
        <v>95</v>
      </c>
      <c r="F796" s="26" t="s">
        <v>554</v>
      </c>
      <c r="G796" s="215">
        <v>4595876200133</v>
      </c>
      <c r="H796" s="39">
        <v>3151.67</v>
      </c>
      <c r="I796" s="216">
        <v>46119</v>
      </c>
      <c r="J796" s="36" t="s">
        <v>91</v>
      </c>
      <c r="K796" s="26" t="s">
        <v>73</v>
      </c>
      <c r="L796" s="11">
        <v>46080</v>
      </c>
      <c r="M796" s="26" t="str">
        <f ca="1">IF(Tabela4[[#This Row],[RECOMPRADO]]="RECEBIDO","LIQUIDADO",IF(O796="LIQUIDADO","LIQUIDADO",IF(I796&lt;$I$5,"VENCIDO","A VENCER")))</f>
        <v>A VENCER</v>
      </c>
      <c r="N796" s="212">
        <f ca="1">IF(Tabela4[[#This Row],[STATUS]]="LIQUIDADO","",Tabela4[[#This Row],[VCTO]]-$I$5)</f>
        <v>21</v>
      </c>
      <c r="O796" s="26"/>
      <c r="P796" s="11"/>
      <c r="Q796" s="26"/>
      <c r="R796" s="26"/>
      <c r="S796" s="26"/>
      <c r="T796" s="26" t="s">
        <v>651</v>
      </c>
      <c r="U796" s="26"/>
      <c r="V796" s="5"/>
    </row>
    <row r="797" spans="1:22">
      <c r="A797" s="26" t="s">
        <v>108</v>
      </c>
      <c r="B797" s="11">
        <v>46080</v>
      </c>
      <c r="C797" s="11" t="s">
        <v>41</v>
      </c>
      <c r="D797" s="26">
        <v>718</v>
      </c>
      <c r="E797" s="35" t="s">
        <v>96</v>
      </c>
      <c r="F797" s="26" t="s">
        <v>554</v>
      </c>
      <c r="G797" s="215">
        <v>4595876200133</v>
      </c>
      <c r="H797" s="39">
        <v>3151.67</v>
      </c>
      <c r="I797" s="216">
        <v>46126</v>
      </c>
      <c r="J797" s="36" t="s">
        <v>91</v>
      </c>
      <c r="K797" s="26" t="s">
        <v>73</v>
      </c>
      <c r="L797" s="11">
        <v>46080</v>
      </c>
      <c r="M797" s="26" t="str">
        <f ca="1">IF(Tabela4[[#This Row],[RECOMPRADO]]="RECEBIDO","LIQUIDADO",IF(O797="LIQUIDADO","LIQUIDADO",IF(I797&lt;$I$5,"VENCIDO","A VENCER")))</f>
        <v>A VENCER</v>
      </c>
      <c r="N797" s="212">
        <f ca="1">IF(Tabela4[[#This Row],[STATUS]]="LIQUIDADO","",Tabela4[[#This Row],[VCTO]]-$I$5)</f>
        <v>28</v>
      </c>
      <c r="O797" s="26"/>
      <c r="P797" s="11"/>
      <c r="Q797" s="26"/>
      <c r="R797" s="26"/>
      <c r="S797" s="26"/>
      <c r="T797" s="26" t="s">
        <v>651</v>
      </c>
      <c r="U797" s="26"/>
      <c r="V797" s="5"/>
    </row>
    <row r="798" spans="1:22">
      <c r="A798" s="26" t="s">
        <v>108</v>
      </c>
      <c r="B798" s="11">
        <v>46080</v>
      </c>
      <c r="C798" s="11" t="s">
        <v>41</v>
      </c>
      <c r="D798" s="26">
        <v>719</v>
      </c>
      <c r="E798" s="35" t="s">
        <v>92</v>
      </c>
      <c r="F798" s="26" t="s">
        <v>555</v>
      </c>
      <c r="G798" s="215">
        <v>18675000168</v>
      </c>
      <c r="H798" s="39">
        <v>6083.33</v>
      </c>
      <c r="I798" s="216">
        <v>46112</v>
      </c>
      <c r="J798" s="36" t="s">
        <v>91</v>
      </c>
      <c r="K798" s="26" t="s">
        <v>73</v>
      </c>
      <c r="L798" s="11">
        <v>46080</v>
      </c>
      <c r="M798" s="26" t="str">
        <f ca="1">IF(Tabela4[[#This Row],[RECOMPRADO]]="RECEBIDO","LIQUIDADO",IF(O798="LIQUIDADO","LIQUIDADO",IF(I798&lt;$I$5,"VENCIDO","A VENCER")))</f>
        <v>A VENCER</v>
      </c>
      <c r="N798" s="212">
        <f ca="1">IF(Tabela4[[#This Row],[STATUS]]="LIQUIDADO","",Tabela4[[#This Row],[VCTO]]-$I$5)</f>
        <v>14</v>
      </c>
      <c r="O798" s="26"/>
      <c r="P798" s="11"/>
      <c r="Q798" s="26"/>
      <c r="R798" s="26"/>
      <c r="S798" s="26"/>
      <c r="T798" s="26" t="s">
        <v>594</v>
      </c>
      <c r="U798" s="26"/>
      <c r="V798" s="5"/>
    </row>
    <row r="799" spans="1:22">
      <c r="A799" s="26" t="s">
        <v>108</v>
      </c>
      <c r="B799" s="11">
        <v>46080</v>
      </c>
      <c r="C799" s="11" t="s">
        <v>41</v>
      </c>
      <c r="D799" s="26">
        <v>719</v>
      </c>
      <c r="E799" s="35" t="s">
        <v>95</v>
      </c>
      <c r="F799" s="26" t="s">
        <v>555</v>
      </c>
      <c r="G799" s="215">
        <v>18675000168</v>
      </c>
      <c r="H799" s="39">
        <v>6083.33</v>
      </c>
      <c r="I799" s="216">
        <v>46119</v>
      </c>
      <c r="J799" s="36" t="s">
        <v>91</v>
      </c>
      <c r="K799" s="26" t="s">
        <v>73</v>
      </c>
      <c r="L799" s="11">
        <v>46080</v>
      </c>
      <c r="M799" s="26" t="str">
        <f ca="1">IF(Tabela4[[#This Row],[RECOMPRADO]]="RECEBIDO","LIQUIDADO",IF(O799="LIQUIDADO","LIQUIDADO",IF(I799&lt;$I$5,"VENCIDO","A VENCER")))</f>
        <v>A VENCER</v>
      </c>
      <c r="N799" s="212">
        <f ca="1">IF(Tabela4[[#This Row],[STATUS]]="LIQUIDADO","",Tabela4[[#This Row],[VCTO]]-$I$5)</f>
        <v>21</v>
      </c>
      <c r="O799" s="26"/>
      <c r="P799" s="11"/>
      <c r="Q799" s="26"/>
      <c r="R799" s="26"/>
      <c r="S799" s="26"/>
      <c r="T799" s="26" t="s">
        <v>594</v>
      </c>
      <c r="U799" s="26"/>
      <c r="V799" s="5"/>
    </row>
    <row r="800" spans="1:22">
      <c r="A800" s="26" t="s">
        <v>108</v>
      </c>
      <c r="B800" s="11">
        <v>46080</v>
      </c>
      <c r="C800" s="11" t="s">
        <v>41</v>
      </c>
      <c r="D800" s="26">
        <v>719</v>
      </c>
      <c r="E800" s="35" t="s">
        <v>96</v>
      </c>
      <c r="F800" s="26" t="s">
        <v>555</v>
      </c>
      <c r="G800" s="215">
        <v>18675000168</v>
      </c>
      <c r="H800" s="39">
        <v>6083.33</v>
      </c>
      <c r="I800" s="216">
        <v>46126</v>
      </c>
      <c r="J800" s="36" t="s">
        <v>91</v>
      </c>
      <c r="K800" s="26" t="s">
        <v>73</v>
      </c>
      <c r="L800" s="11">
        <v>46080</v>
      </c>
      <c r="M800" s="26" t="str">
        <f ca="1">IF(Tabela4[[#This Row],[RECOMPRADO]]="RECEBIDO","LIQUIDADO",IF(O800="LIQUIDADO","LIQUIDADO",IF(I800&lt;$I$5,"VENCIDO","A VENCER")))</f>
        <v>A VENCER</v>
      </c>
      <c r="N800" s="212">
        <f ca="1">IF(Tabela4[[#This Row],[STATUS]]="LIQUIDADO","",Tabela4[[#This Row],[VCTO]]-$I$5)</f>
        <v>28</v>
      </c>
      <c r="O800" s="26"/>
      <c r="P800" s="11"/>
      <c r="Q800" s="26"/>
      <c r="R800" s="26"/>
      <c r="S800" s="26"/>
      <c r="T800" s="26" t="s">
        <v>594</v>
      </c>
      <c r="U800" s="26"/>
      <c r="V800" s="5"/>
    </row>
    <row r="801" spans="1:22">
      <c r="A801" s="26" t="s">
        <v>108</v>
      </c>
      <c r="B801" s="11">
        <v>46080</v>
      </c>
      <c r="C801" s="11" t="s">
        <v>41</v>
      </c>
      <c r="D801" s="26">
        <v>721</v>
      </c>
      <c r="E801" s="35" t="s">
        <v>92</v>
      </c>
      <c r="F801" s="26" t="s">
        <v>280</v>
      </c>
      <c r="G801" s="215">
        <v>7205093000130</v>
      </c>
      <c r="H801" s="39">
        <v>9250</v>
      </c>
      <c r="I801" s="216">
        <v>46116</v>
      </c>
      <c r="J801" s="36" t="s">
        <v>91</v>
      </c>
      <c r="K801" s="26" t="s">
        <v>73</v>
      </c>
      <c r="L801" s="11">
        <v>46080</v>
      </c>
      <c r="M801" s="26" t="str">
        <f ca="1">IF(Tabela4[[#This Row],[RECOMPRADO]]="RECEBIDO","LIQUIDADO",IF(O801="LIQUIDADO","LIQUIDADO",IF(I801&lt;$I$5,"VENCIDO","A VENCER")))</f>
        <v>A VENCER</v>
      </c>
      <c r="N801" s="212">
        <f ca="1">IF(Tabela4[[#This Row],[STATUS]]="LIQUIDADO","",Tabela4[[#This Row],[VCTO]]-$I$5)</f>
        <v>18</v>
      </c>
      <c r="O801" s="26"/>
      <c r="P801" s="11"/>
      <c r="Q801" s="26"/>
      <c r="R801" s="26"/>
      <c r="S801" s="26"/>
      <c r="T801" s="26" t="s">
        <v>205</v>
      </c>
      <c r="U801" s="26"/>
      <c r="V801" s="5"/>
    </row>
    <row r="802" spans="1:22">
      <c r="A802" s="26" t="s">
        <v>108</v>
      </c>
      <c r="B802" s="11">
        <v>46080</v>
      </c>
      <c r="C802" s="11" t="s">
        <v>41</v>
      </c>
      <c r="D802" s="26">
        <v>721</v>
      </c>
      <c r="E802" s="35" t="s">
        <v>95</v>
      </c>
      <c r="F802" s="26" t="s">
        <v>280</v>
      </c>
      <c r="G802" s="215">
        <v>7205093000130</v>
      </c>
      <c r="H802" s="39">
        <v>9250</v>
      </c>
      <c r="I802" s="216">
        <v>46131</v>
      </c>
      <c r="J802" s="36" t="s">
        <v>91</v>
      </c>
      <c r="K802" s="26" t="s">
        <v>73</v>
      </c>
      <c r="L802" s="11">
        <v>46080</v>
      </c>
      <c r="M802" s="26" t="str">
        <f ca="1">IF(Tabela4[[#This Row],[RECOMPRADO]]="RECEBIDO","LIQUIDADO",IF(O802="LIQUIDADO","LIQUIDADO",IF(I802&lt;$I$5,"VENCIDO","A VENCER")))</f>
        <v>A VENCER</v>
      </c>
      <c r="N802" s="212">
        <f ca="1">IF(Tabela4[[#This Row],[STATUS]]="LIQUIDADO","",Tabela4[[#This Row],[VCTO]]-$I$5)</f>
        <v>33</v>
      </c>
      <c r="O802" s="26"/>
      <c r="P802" s="11"/>
      <c r="Q802" s="26"/>
      <c r="R802" s="26"/>
      <c r="S802" s="26"/>
      <c r="T802" s="26" t="s">
        <v>205</v>
      </c>
      <c r="U802" s="26"/>
      <c r="V802" s="5"/>
    </row>
    <row r="803" spans="1:22">
      <c r="A803" s="26" t="s">
        <v>108</v>
      </c>
      <c r="B803" s="11">
        <v>46080</v>
      </c>
      <c r="C803" s="11" t="s">
        <v>41</v>
      </c>
      <c r="D803" s="26">
        <v>722</v>
      </c>
      <c r="E803" s="35" t="s">
        <v>92</v>
      </c>
      <c r="F803" s="26" t="s">
        <v>556</v>
      </c>
      <c r="G803" s="215">
        <v>23254970000119</v>
      </c>
      <c r="H803" s="39">
        <v>15541.2</v>
      </c>
      <c r="I803" s="216">
        <v>46114</v>
      </c>
      <c r="J803" s="36" t="s">
        <v>91</v>
      </c>
      <c r="K803" s="26" t="s">
        <v>73</v>
      </c>
      <c r="L803" s="11">
        <v>46080</v>
      </c>
      <c r="M803" s="26" t="str">
        <f ca="1">IF(Tabela4[[#This Row],[RECOMPRADO]]="RECEBIDO","LIQUIDADO",IF(O803="LIQUIDADO","LIQUIDADO",IF(I803&lt;$I$5,"VENCIDO","A VENCER")))</f>
        <v>A VENCER</v>
      </c>
      <c r="N803" s="212">
        <f ca="1">IF(Tabela4[[#This Row],[STATUS]]="LIQUIDADO","",Tabela4[[#This Row],[VCTO]]-$I$5)</f>
        <v>16</v>
      </c>
      <c r="O803" s="26"/>
      <c r="P803" s="11"/>
      <c r="Q803" s="26"/>
      <c r="R803" s="26"/>
      <c r="S803" s="26"/>
      <c r="T803" s="26" t="s">
        <v>205</v>
      </c>
      <c r="U803" s="26"/>
      <c r="V803" s="5"/>
    </row>
    <row r="804" spans="1:22">
      <c r="A804" s="26" t="s">
        <v>108</v>
      </c>
      <c r="B804" s="11">
        <v>46080</v>
      </c>
      <c r="C804" s="11" t="s">
        <v>41</v>
      </c>
      <c r="D804" s="26">
        <v>722</v>
      </c>
      <c r="E804" s="35" t="s">
        <v>95</v>
      </c>
      <c r="F804" s="26" t="s">
        <v>556</v>
      </c>
      <c r="G804" s="215">
        <v>23254970000119</v>
      </c>
      <c r="H804" s="39">
        <v>13500</v>
      </c>
      <c r="I804" s="216">
        <v>46144</v>
      </c>
      <c r="J804" s="36" t="s">
        <v>91</v>
      </c>
      <c r="K804" s="26" t="s">
        <v>73</v>
      </c>
      <c r="L804" s="11">
        <v>46080</v>
      </c>
      <c r="M804" s="26" t="str">
        <f ca="1">IF(Tabela4[[#This Row],[RECOMPRADO]]="RECEBIDO","LIQUIDADO",IF(O804="LIQUIDADO","LIQUIDADO",IF(I804&lt;$I$5,"VENCIDO","A VENCER")))</f>
        <v>A VENCER</v>
      </c>
      <c r="N804" s="212">
        <f ca="1">IF(Tabela4[[#This Row],[STATUS]]="LIQUIDADO","",Tabela4[[#This Row],[VCTO]]-$I$5)</f>
        <v>46</v>
      </c>
      <c r="O804" s="26"/>
      <c r="P804" s="11"/>
      <c r="Q804" s="26"/>
      <c r="R804" s="26"/>
      <c r="S804" s="26"/>
      <c r="T804" s="26" t="s">
        <v>205</v>
      </c>
      <c r="U804" s="26"/>
      <c r="V804" s="5"/>
    </row>
    <row r="805" spans="1:22">
      <c r="A805" s="26" t="s">
        <v>0</v>
      </c>
      <c r="B805" s="11">
        <v>46083</v>
      </c>
      <c r="C805" s="11" t="s">
        <v>41</v>
      </c>
      <c r="D805" s="26">
        <v>433</v>
      </c>
      <c r="E805" s="35" t="s">
        <v>92</v>
      </c>
      <c r="F805" s="26" t="s">
        <v>100</v>
      </c>
      <c r="G805" s="215">
        <v>7752660000130</v>
      </c>
      <c r="H805" s="39">
        <v>4263.5</v>
      </c>
      <c r="I805" s="216">
        <v>46116</v>
      </c>
      <c r="J805" s="36" t="s">
        <v>91</v>
      </c>
      <c r="K805" s="26" t="s">
        <v>381</v>
      </c>
      <c r="L805" s="11">
        <v>46084</v>
      </c>
      <c r="M805" s="26" t="str">
        <f ca="1">IF(Tabela4[[#This Row],[RECOMPRADO]]="RECEBIDO","LIQUIDADO",IF(O805="LIQUIDADO","LIQUIDADO",IF(I805&lt;$I$5,"VENCIDO","A VENCER")))</f>
        <v>A VENCER</v>
      </c>
      <c r="N805" s="212">
        <f ca="1">IF(Tabela4[[#This Row],[STATUS]]="LIQUIDADO","",Tabela4[[#This Row],[VCTO]]-$I$5)</f>
        <v>18</v>
      </c>
      <c r="O805" s="26"/>
      <c r="P805" s="11"/>
      <c r="Q805" s="26"/>
      <c r="R805" s="26"/>
      <c r="S805" s="26"/>
      <c r="T805" s="26"/>
      <c r="U805" s="26"/>
      <c r="V805" s="5"/>
    </row>
    <row r="806" spans="1:22">
      <c r="A806" s="26" t="s">
        <v>0</v>
      </c>
      <c r="B806" s="11">
        <v>46083</v>
      </c>
      <c r="C806" s="11" t="s">
        <v>41</v>
      </c>
      <c r="D806" s="26">
        <v>433</v>
      </c>
      <c r="E806" s="35" t="s">
        <v>95</v>
      </c>
      <c r="F806" s="26" t="s">
        <v>100</v>
      </c>
      <c r="G806" s="215">
        <v>7752660000130</v>
      </c>
      <c r="H806" s="39">
        <v>4263.5</v>
      </c>
      <c r="I806" s="216">
        <v>46131</v>
      </c>
      <c r="J806" s="36" t="s">
        <v>91</v>
      </c>
      <c r="K806" s="26" t="s">
        <v>381</v>
      </c>
      <c r="L806" s="11">
        <v>46084</v>
      </c>
      <c r="M806" s="26" t="str">
        <f ca="1">IF(Tabela4[[#This Row],[RECOMPRADO]]="RECEBIDO","LIQUIDADO",IF(O806="LIQUIDADO","LIQUIDADO",IF(I806&lt;$I$5,"VENCIDO","A VENCER")))</f>
        <v>A VENCER</v>
      </c>
      <c r="N806" s="212">
        <f ca="1">IF(Tabela4[[#This Row],[STATUS]]="LIQUIDADO","",Tabela4[[#This Row],[VCTO]]-$I$5)</f>
        <v>33</v>
      </c>
      <c r="O806" s="26"/>
      <c r="P806" s="11"/>
      <c r="Q806" s="26"/>
      <c r="R806" s="26"/>
      <c r="S806" s="26"/>
      <c r="T806" s="26"/>
      <c r="U806" s="26"/>
      <c r="V806" s="5"/>
    </row>
    <row r="807" spans="1:22">
      <c r="A807" s="26" t="s">
        <v>0</v>
      </c>
      <c r="B807" s="11">
        <v>46083</v>
      </c>
      <c r="C807" s="11" t="s">
        <v>41</v>
      </c>
      <c r="D807" s="26">
        <v>433</v>
      </c>
      <c r="E807" s="35" t="s">
        <v>96</v>
      </c>
      <c r="F807" s="26" t="s">
        <v>100</v>
      </c>
      <c r="G807" s="215">
        <v>7752660000130</v>
      </c>
      <c r="H807" s="39">
        <v>4263.5</v>
      </c>
      <c r="I807" s="216">
        <v>46146</v>
      </c>
      <c r="J807" s="36" t="s">
        <v>91</v>
      </c>
      <c r="K807" s="26" t="s">
        <v>381</v>
      </c>
      <c r="L807" s="11">
        <v>46084</v>
      </c>
      <c r="M807" s="26" t="str">
        <f ca="1">IF(Tabela4[[#This Row],[RECOMPRADO]]="RECEBIDO","LIQUIDADO",IF(O807="LIQUIDADO","LIQUIDADO",IF(I807&lt;$I$5,"VENCIDO","A VENCER")))</f>
        <v>A VENCER</v>
      </c>
      <c r="N807" s="212">
        <f ca="1">IF(Tabela4[[#This Row],[STATUS]]="LIQUIDADO","",Tabela4[[#This Row],[VCTO]]-$I$5)</f>
        <v>48</v>
      </c>
      <c r="O807" s="26"/>
      <c r="P807" s="11"/>
      <c r="Q807" s="26"/>
      <c r="R807" s="26"/>
      <c r="S807" s="26"/>
      <c r="T807" s="26"/>
      <c r="U807" s="26"/>
      <c r="V807" s="5"/>
    </row>
    <row r="808" spans="1:22">
      <c r="A808" s="5" t="s">
        <v>0</v>
      </c>
      <c r="B808" s="6">
        <v>46083</v>
      </c>
      <c r="C808" s="6" t="s">
        <v>43</v>
      </c>
      <c r="D808" s="5">
        <v>433</v>
      </c>
      <c r="E808" s="10" t="s">
        <v>92</v>
      </c>
      <c r="F808" s="5" t="s">
        <v>100</v>
      </c>
      <c r="G808" s="239">
        <v>7752660000130</v>
      </c>
      <c r="H808" s="38">
        <v>9948.16</v>
      </c>
      <c r="I808" s="217">
        <v>46116</v>
      </c>
      <c r="J808" s="36" t="s">
        <v>91</v>
      </c>
      <c r="K808" s="26" t="s">
        <v>381</v>
      </c>
      <c r="L808" s="11">
        <v>46084</v>
      </c>
      <c r="M808" s="5" t="str">
        <f ca="1">IF(Tabela4[[#This Row],[RECOMPRADO]]="RECEBIDO","LIQUIDADO",IF(O808="LIQUIDADO","LIQUIDADO",IF(I808&lt;$I$5,"VENCIDO","A VENCER")))</f>
        <v>A VENCER</v>
      </c>
      <c r="N808" s="211">
        <f ca="1">IF(Tabela4[[#This Row],[STATUS]]="LIQUIDADO","",Tabela4[[#This Row],[VCTO]]-$I$5)</f>
        <v>18</v>
      </c>
      <c r="O808" s="5"/>
      <c r="P808" s="6"/>
      <c r="Q808" s="5"/>
      <c r="R808" s="5"/>
      <c r="S808" s="5"/>
      <c r="T808" s="5"/>
      <c r="U808" s="5"/>
      <c r="V808" s="5"/>
    </row>
    <row r="809" spans="1:22">
      <c r="A809" s="5" t="s">
        <v>0</v>
      </c>
      <c r="B809" s="6">
        <v>46083</v>
      </c>
      <c r="C809" s="6" t="s">
        <v>43</v>
      </c>
      <c r="D809" s="5">
        <v>433</v>
      </c>
      <c r="E809" s="10" t="s">
        <v>95</v>
      </c>
      <c r="F809" s="5" t="s">
        <v>100</v>
      </c>
      <c r="G809" s="239">
        <v>7752660000130</v>
      </c>
      <c r="H809" s="38">
        <v>9948.16</v>
      </c>
      <c r="I809" s="217">
        <v>46131</v>
      </c>
      <c r="J809" s="36" t="s">
        <v>91</v>
      </c>
      <c r="K809" s="26" t="s">
        <v>381</v>
      </c>
      <c r="L809" s="11">
        <v>46084</v>
      </c>
      <c r="M809" s="5" t="str">
        <f ca="1">IF(Tabela4[[#This Row],[RECOMPRADO]]="RECEBIDO","LIQUIDADO",IF(O809="LIQUIDADO","LIQUIDADO",IF(I809&lt;$I$5,"VENCIDO","A VENCER")))</f>
        <v>A VENCER</v>
      </c>
      <c r="N809" s="211">
        <f ca="1">IF(Tabela4[[#This Row],[STATUS]]="LIQUIDADO","",Tabela4[[#This Row],[VCTO]]-$I$5)</f>
        <v>33</v>
      </c>
      <c r="O809" s="5"/>
      <c r="P809" s="6"/>
      <c r="Q809" s="5"/>
      <c r="R809" s="5"/>
      <c r="S809" s="5"/>
      <c r="T809" s="5"/>
      <c r="U809" s="5"/>
      <c r="V809" s="5"/>
    </row>
    <row r="810" spans="1:22">
      <c r="A810" s="5" t="s">
        <v>0</v>
      </c>
      <c r="B810" s="6">
        <v>46083</v>
      </c>
      <c r="C810" s="6" t="s">
        <v>43</v>
      </c>
      <c r="D810" s="5">
        <v>433</v>
      </c>
      <c r="E810" s="10" t="s">
        <v>96</v>
      </c>
      <c r="F810" s="5" t="s">
        <v>100</v>
      </c>
      <c r="G810" s="239">
        <v>7752660000130</v>
      </c>
      <c r="H810" s="38">
        <v>9948.16</v>
      </c>
      <c r="I810" s="217">
        <v>46146</v>
      </c>
      <c r="J810" s="36" t="s">
        <v>91</v>
      </c>
      <c r="K810" s="26" t="s">
        <v>381</v>
      </c>
      <c r="L810" s="11">
        <v>46084</v>
      </c>
      <c r="M810" s="5" t="str">
        <f ca="1">IF(Tabela4[[#This Row],[RECOMPRADO]]="RECEBIDO","LIQUIDADO",IF(O810="LIQUIDADO","LIQUIDADO",IF(I810&lt;$I$5,"VENCIDO","A VENCER")))</f>
        <v>A VENCER</v>
      </c>
      <c r="N810" s="211">
        <f ca="1">IF(Tabela4[[#This Row],[STATUS]]="LIQUIDADO","",Tabela4[[#This Row],[VCTO]]-$I$5)</f>
        <v>48</v>
      </c>
      <c r="O810" s="5"/>
      <c r="P810" s="6"/>
      <c r="Q810" s="5"/>
      <c r="R810" s="5"/>
      <c r="S810" s="5"/>
      <c r="T810" s="5"/>
      <c r="U810" s="5"/>
      <c r="V810" s="5"/>
    </row>
    <row r="811" spans="1:22">
      <c r="A811" s="5" t="s">
        <v>0</v>
      </c>
      <c r="B811" s="6">
        <v>46083</v>
      </c>
      <c r="C811" s="6" t="s">
        <v>41</v>
      </c>
      <c r="D811" s="5">
        <v>434</v>
      </c>
      <c r="E811" s="10" t="s">
        <v>92</v>
      </c>
      <c r="F811" s="5" t="s">
        <v>560</v>
      </c>
      <c r="G811" s="239">
        <v>3215760000104</v>
      </c>
      <c r="H811" s="38">
        <v>2270.33</v>
      </c>
      <c r="I811" s="217">
        <v>46114</v>
      </c>
      <c r="J811" s="36" t="s">
        <v>91</v>
      </c>
      <c r="K811" s="26" t="s">
        <v>381</v>
      </c>
      <c r="L811" s="11">
        <v>46084</v>
      </c>
      <c r="M811" s="5" t="str">
        <f ca="1">IF(Tabela4[[#This Row],[RECOMPRADO]]="RECEBIDO","LIQUIDADO",IF(O811="LIQUIDADO","LIQUIDADO",IF(I811&lt;$I$5,"VENCIDO","A VENCER")))</f>
        <v>A VENCER</v>
      </c>
      <c r="N811" s="211">
        <f ca="1">IF(Tabela4[[#This Row],[STATUS]]="LIQUIDADO","",Tabela4[[#This Row],[VCTO]]-$I$5)</f>
        <v>16</v>
      </c>
      <c r="O811" s="5"/>
      <c r="P811" s="6"/>
      <c r="Q811" s="5"/>
      <c r="R811" s="5"/>
      <c r="S811" s="5"/>
      <c r="T811" s="5"/>
      <c r="U811" s="5"/>
      <c r="V811" s="5"/>
    </row>
    <row r="812" spans="1:22">
      <c r="A812" s="5" t="s">
        <v>0</v>
      </c>
      <c r="B812" s="6">
        <v>46083</v>
      </c>
      <c r="C812" s="6" t="s">
        <v>41</v>
      </c>
      <c r="D812" s="5">
        <v>434</v>
      </c>
      <c r="E812" s="10" t="s">
        <v>95</v>
      </c>
      <c r="F812" s="5" t="s">
        <v>560</v>
      </c>
      <c r="G812" s="239">
        <v>3215760000104</v>
      </c>
      <c r="H812" s="38">
        <v>2270.33</v>
      </c>
      <c r="I812" s="217">
        <v>46121</v>
      </c>
      <c r="J812" s="36" t="s">
        <v>91</v>
      </c>
      <c r="K812" s="26" t="s">
        <v>381</v>
      </c>
      <c r="L812" s="11">
        <v>46084</v>
      </c>
      <c r="M812" s="5" t="str">
        <f ca="1">IF(Tabela4[[#This Row],[RECOMPRADO]]="RECEBIDO","LIQUIDADO",IF(O812="LIQUIDADO","LIQUIDADO",IF(I812&lt;$I$5,"VENCIDO","A VENCER")))</f>
        <v>A VENCER</v>
      </c>
      <c r="N812" s="211">
        <f ca="1">IF(Tabela4[[#This Row],[STATUS]]="LIQUIDADO","",Tabela4[[#This Row],[VCTO]]-$I$5)</f>
        <v>23</v>
      </c>
      <c r="O812" s="5"/>
      <c r="P812" s="6"/>
      <c r="Q812" s="5"/>
      <c r="R812" s="5"/>
      <c r="S812" s="5"/>
      <c r="T812" s="5"/>
      <c r="U812" s="5"/>
      <c r="V812" s="5"/>
    </row>
    <row r="813" spans="1:22">
      <c r="A813" s="26" t="s">
        <v>0</v>
      </c>
      <c r="B813" s="11">
        <v>46083</v>
      </c>
      <c r="C813" s="11" t="s">
        <v>41</v>
      </c>
      <c r="D813" s="26">
        <v>434</v>
      </c>
      <c r="E813" s="35" t="s">
        <v>96</v>
      </c>
      <c r="F813" s="5" t="s">
        <v>560</v>
      </c>
      <c r="G813" s="239">
        <v>3215760000104</v>
      </c>
      <c r="H813" s="38">
        <v>2270.34</v>
      </c>
      <c r="I813" s="217">
        <v>46128</v>
      </c>
      <c r="J813" s="36" t="s">
        <v>91</v>
      </c>
      <c r="K813" s="26" t="s">
        <v>381</v>
      </c>
      <c r="L813" s="11">
        <v>46084</v>
      </c>
      <c r="M813" s="26" t="str">
        <f ca="1">IF(Tabela4[[#This Row],[RECOMPRADO]]="RECEBIDO","LIQUIDADO",IF(O813="LIQUIDADO","LIQUIDADO",IF(I813&lt;$I$5,"VENCIDO","A VENCER")))</f>
        <v>A VENCER</v>
      </c>
      <c r="N813" s="212">
        <f ca="1">IF(Tabela4[[#This Row],[STATUS]]="LIQUIDADO","",Tabela4[[#This Row],[VCTO]]-$I$5)</f>
        <v>30</v>
      </c>
      <c r="O813" s="26"/>
      <c r="P813" s="11"/>
      <c r="Q813" s="26"/>
      <c r="R813" s="26"/>
      <c r="S813" s="26"/>
      <c r="T813" s="26"/>
      <c r="U813" s="26"/>
      <c r="V813" s="5"/>
    </row>
    <row r="814" spans="1:22">
      <c r="A814" s="26" t="s">
        <v>0</v>
      </c>
      <c r="B814" s="11">
        <v>46083</v>
      </c>
      <c r="C814" s="11" t="s">
        <v>43</v>
      </c>
      <c r="D814" s="26">
        <v>434</v>
      </c>
      <c r="E814" s="35" t="s">
        <v>92</v>
      </c>
      <c r="F814" s="26" t="s">
        <v>560</v>
      </c>
      <c r="G814" s="215">
        <v>3215760000104</v>
      </c>
      <c r="H814" s="39">
        <v>2270.33</v>
      </c>
      <c r="I814" s="216">
        <v>46114</v>
      </c>
      <c r="J814" s="36" t="s">
        <v>91</v>
      </c>
      <c r="K814" s="26" t="s">
        <v>381</v>
      </c>
      <c r="L814" s="11">
        <v>46084</v>
      </c>
      <c r="M814" s="26" t="str">
        <f ca="1">IF(Tabela4[[#This Row],[RECOMPRADO]]="RECEBIDO","LIQUIDADO",IF(O814="LIQUIDADO","LIQUIDADO",IF(I814&lt;$I$5,"VENCIDO","A VENCER")))</f>
        <v>A VENCER</v>
      </c>
      <c r="N814" s="212">
        <f ca="1">IF(Tabela4[[#This Row],[STATUS]]="LIQUIDADO","",Tabela4[[#This Row],[VCTO]]-$I$5)</f>
        <v>16</v>
      </c>
      <c r="O814" s="26"/>
      <c r="P814" s="11"/>
      <c r="Q814" s="26"/>
      <c r="R814" s="26"/>
      <c r="S814" s="26"/>
      <c r="T814" s="26"/>
      <c r="U814" s="26"/>
      <c r="V814" s="5"/>
    </row>
    <row r="815" spans="1:22">
      <c r="A815" s="26" t="s">
        <v>0</v>
      </c>
      <c r="B815" s="11">
        <v>46083</v>
      </c>
      <c r="C815" s="11" t="s">
        <v>43</v>
      </c>
      <c r="D815" s="26">
        <v>434</v>
      </c>
      <c r="E815" s="35" t="s">
        <v>95</v>
      </c>
      <c r="F815" s="26" t="s">
        <v>560</v>
      </c>
      <c r="G815" s="215">
        <v>3215760000104</v>
      </c>
      <c r="H815" s="39">
        <v>2270.33</v>
      </c>
      <c r="I815" s="216">
        <v>46121</v>
      </c>
      <c r="J815" s="36" t="s">
        <v>91</v>
      </c>
      <c r="K815" s="26" t="s">
        <v>381</v>
      </c>
      <c r="L815" s="11">
        <v>46084</v>
      </c>
      <c r="M815" s="26" t="str">
        <f ca="1">IF(Tabela4[[#This Row],[RECOMPRADO]]="RECEBIDO","LIQUIDADO",IF(O815="LIQUIDADO","LIQUIDADO",IF(I815&lt;$I$5,"VENCIDO","A VENCER")))</f>
        <v>A VENCER</v>
      </c>
      <c r="N815" s="212">
        <f ca="1">IF(Tabela4[[#This Row],[STATUS]]="LIQUIDADO","",Tabela4[[#This Row],[VCTO]]-$I$5)</f>
        <v>23</v>
      </c>
      <c r="O815" s="26"/>
      <c r="P815" s="11"/>
      <c r="Q815" s="26"/>
      <c r="R815" s="26"/>
      <c r="S815" s="26"/>
      <c r="T815" s="26"/>
      <c r="U815" s="26"/>
      <c r="V815" s="5"/>
    </row>
    <row r="816" spans="1:22">
      <c r="A816" s="26" t="s">
        <v>0</v>
      </c>
      <c r="B816" s="11">
        <v>46083</v>
      </c>
      <c r="C816" s="11" t="s">
        <v>43</v>
      </c>
      <c r="D816" s="26">
        <v>434</v>
      </c>
      <c r="E816" s="35" t="s">
        <v>96</v>
      </c>
      <c r="F816" s="26" t="s">
        <v>560</v>
      </c>
      <c r="G816" s="215">
        <v>3215760000104</v>
      </c>
      <c r="H816" s="39">
        <v>2270.33</v>
      </c>
      <c r="I816" s="216">
        <v>46128</v>
      </c>
      <c r="J816" s="36" t="s">
        <v>91</v>
      </c>
      <c r="K816" s="26" t="s">
        <v>381</v>
      </c>
      <c r="L816" s="11">
        <v>46084</v>
      </c>
      <c r="M816" s="26" t="str">
        <f ca="1">IF(Tabela4[[#This Row],[RECOMPRADO]]="RECEBIDO","LIQUIDADO",IF(O816="LIQUIDADO","LIQUIDADO",IF(I816&lt;$I$5,"VENCIDO","A VENCER")))</f>
        <v>A VENCER</v>
      </c>
      <c r="N816" s="212">
        <f ca="1">IF(Tabela4[[#This Row],[STATUS]]="LIQUIDADO","",Tabela4[[#This Row],[VCTO]]-$I$5)</f>
        <v>30</v>
      </c>
      <c r="O816" s="26"/>
      <c r="P816" s="11"/>
      <c r="Q816" s="26"/>
      <c r="R816" s="26"/>
      <c r="S816" s="26"/>
      <c r="T816" s="26"/>
      <c r="U816" s="26"/>
      <c r="V816" s="5"/>
    </row>
    <row r="817" spans="1:22">
      <c r="A817" s="26" t="s">
        <v>108</v>
      </c>
      <c r="B817" s="11">
        <v>46083</v>
      </c>
      <c r="C817" s="11" t="s">
        <v>41</v>
      </c>
      <c r="D817" s="26">
        <v>724</v>
      </c>
      <c r="E817" s="35" t="s">
        <v>92</v>
      </c>
      <c r="F817" s="26" t="s">
        <v>561</v>
      </c>
      <c r="G817" s="215">
        <v>23180800000137</v>
      </c>
      <c r="H817" s="39">
        <v>1893.33</v>
      </c>
      <c r="I817" s="216">
        <v>46114</v>
      </c>
      <c r="J817" s="36" t="s">
        <v>91</v>
      </c>
      <c r="K817" s="26" t="s">
        <v>381</v>
      </c>
      <c r="L817" s="11">
        <v>46084</v>
      </c>
      <c r="M817" s="26" t="str">
        <f ca="1">IF(Tabela4[[#This Row],[RECOMPRADO]]="RECEBIDO","LIQUIDADO",IF(O817="LIQUIDADO","LIQUIDADO",IF(I817&lt;$I$5,"VENCIDO","A VENCER")))</f>
        <v>A VENCER</v>
      </c>
      <c r="N817" s="212">
        <f ca="1">IF(Tabela4[[#This Row],[STATUS]]="LIQUIDADO","",Tabela4[[#This Row],[VCTO]]-$I$5)</f>
        <v>16</v>
      </c>
      <c r="O817" s="26"/>
      <c r="P817" s="11"/>
      <c r="Q817" s="26"/>
      <c r="R817" s="26"/>
      <c r="S817" s="26"/>
      <c r="T817" s="26"/>
      <c r="U817" s="26"/>
      <c r="V817" s="5"/>
    </row>
    <row r="818" spans="1:22">
      <c r="A818" s="26" t="s">
        <v>108</v>
      </c>
      <c r="B818" s="11">
        <v>46083</v>
      </c>
      <c r="C818" s="11" t="s">
        <v>41</v>
      </c>
      <c r="D818" s="26">
        <v>724</v>
      </c>
      <c r="E818" s="35" t="s">
        <v>95</v>
      </c>
      <c r="F818" s="26" t="s">
        <v>654</v>
      </c>
      <c r="G818" s="215">
        <v>23180800000137</v>
      </c>
      <c r="H818" s="39">
        <v>1893.33</v>
      </c>
      <c r="I818" s="216">
        <v>46121</v>
      </c>
      <c r="J818" s="36" t="s">
        <v>91</v>
      </c>
      <c r="K818" s="26" t="s">
        <v>381</v>
      </c>
      <c r="L818" s="11">
        <v>46084</v>
      </c>
      <c r="M818" s="26" t="str">
        <f ca="1">IF(Tabela4[[#This Row],[RECOMPRADO]]="RECEBIDO","LIQUIDADO",IF(O818="LIQUIDADO","LIQUIDADO",IF(I818&lt;$I$5,"VENCIDO","A VENCER")))</f>
        <v>A VENCER</v>
      </c>
      <c r="N818" s="212">
        <f ca="1">IF(Tabela4[[#This Row],[STATUS]]="LIQUIDADO","",Tabela4[[#This Row],[VCTO]]-$I$5)</f>
        <v>23</v>
      </c>
      <c r="O818" s="26"/>
      <c r="P818" s="11"/>
      <c r="Q818" s="26"/>
      <c r="R818" s="26"/>
      <c r="S818" s="26"/>
      <c r="T818" s="26"/>
      <c r="U818" s="26"/>
      <c r="V818" s="5"/>
    </row>
    <row r="819" spans="1:22">
      <c r="A819" s="26" t="s">
        <v>108</v>
      </c>
      <c r="B819" s="11">
        <v>46083</v>
      </c>
      <c r="C819" s="11" t="s">
        <v>41</v>
      </c>
      <c r="D819" s="26">
        <v>724</v>
      </c>
      <c r="E819" s="35" t="s">
        <v>96</v>
      </c>
      <c r="F819" s="26" t="s">
        <v>561</v>
      </c>
      <c r="G819" s="215">
        <v>23180800000137</v>
      </c>
      <c r="H819" s="39">
        <v>1893.33</v>
      </c>
      <c r="I819" s="216">
        <v>46128</v>
      </c>
      <c r="J819" s="36" t="s">
        <v>91</v>
      </c>
      <c r="K819" s="26" t="s">
        <v>381</v>
      </c>
      <c r="L819" s="11">
        <v>46084</v>
      </c>
      <c r="M819" s="26" t="str">
        <f ca="1">IF(Tabela4[[#This Row],[RECOMPRADO]]="RECEBIDO","LIQUIDADO",IF(O819="LIQUIDADO","LIQUIDADO",IF(I819&lt;$I$5,"VENCIDO","A VENCER")))</f>
        <v>A VENCER</v>
      </c>
      <c r="N819" s="212">
        <f ca="1">IF(Tabela4[[#This Row],[STATUS]]="LIQUIDADO","",Tabela4[[#This Row],[VCTO]]-$I$5)</f>
        <v>30</v>
      </c>
      <c r="O819" s="26"/>
      <c r="P819" s="11"/>
      <c r="Q819" s="26"/>
      <c r="R819" s="26"/>
      <c r="S819" s="26"/>
      <c r="T819" s="26"/>
      <c r="U819" s="26"/>
      <c r="V819" s="5"/>
    </row>
    <row r="820" spans="1:22">
      <c r="A820" s="306" t="s">
        <v>0</v>
      </c>
      <c r="B820" s="307">
        <v>46085</v>
      </c>
      <c r="C820" s="11" t="s">
        <v>41</v>
      </c>
      <c r="D820" s="306">
        <v>441</v>
      </c>
      <c r="E820" s="35" t="s">
        <v>92</v>
      </c>
      <c r="F820" s="26" t="s">
        <v>2</v>
      </c>
      <c r="G820" s="215">
        <v>2042020000150</v>
      </c>
      <c r="H820" s="309">
        <v>858.75</v>
      </c>
      <c r="I820" s="310">
        <v>46113</v>
      </c>
      <c r="J820" s="311" t="s">
        <v>91</v>
      </c>
      <c r="K820" s="306" t="s">
        <v>381</v>
      </c>
      <c r="L820" s="307">
        <v>46086</v>
      </c>
      <c r="M820" s="306" t="str">
        <f ca="1">IF(Tabela4[[#This Row],[RECOMPRADO]]="RECEBIDO","LIQUIDADO",IF(O820="LIQUIDADO","LIQUIDADO",IF(I820&lt;$I$5,"VENCIDO","A VENCER")))</f>
        <v>A VENCER</v>
      </c>
      <c r="N820" s="312">
        <f ca="1">IF(Tabela4[[#This Row],[STATUS]]="LIQUIDADO","",Tabela4[[#This Row],[VCTO]]-$I$5)</f>
        <v>15</v>
      </c>
      <c r="O820" s="306"/>
      <c r="P820" s="307"/>
      <c r="Q820" s="306"/>
      <c r="R820" s="306"/>
      <c r="S820" s="306"/>
      <c r="T820" s="306"/>
      <c r="U820" s="306"/>
      <c r="V820" s="5"/>
    </row>
    <row r="821" spans="1:22">
      <c r="A821" s="306" t="s">
        <v>0</v>
      </c>
      <c r="B821" s="307">
        <v>46085</v>
      </c>
      <c r="C821" s="11" t="s">
        <v>41</v>
      </c>
      <c r="D821" s="306">
        <v>441</v>
      </c>
      <c r="E821" s="35" t="s">
        <v>95</v>
      </c>
      <c r="F821" s="26" t="s">
        <v>2</v>
      </c>
      <c r="G821" s="215">
        <v>2042020000150</v>
      </c>
      <c r="H821" s="309">
        <v>858.75</v>
      </c>
      <c r="I821" s="310">
        <v>46120</v>
      </c>
      <c r="J821" s="311" t="s">
        <v>91</v>
      </c>
      <c r="K821" s="306" t="s">
        <v>381</v>
      </c>
      <c r="L821" s="307">
        <v>46086</v>
      </c>
      <c r="M821" s="306" t="str">
        <f ca="1">IF(Tabela4[[#This Row],[RECOMPRADO]]="RECEBIDO","LIQUIDADO",IF(O821="LIQUIDADO","LIQUIDADO",IF(I821&lt;$I$5,"VENCIDO","A VENCER")))</f>
        <v>A VENCER</v>
      </c>
      <c r="N821" s="312">
        <f ca="1">IF(Tabela4[[#This Row],[STATUS]]="LIQUIDADO","",Tabela4[[#This Row],[VCTO]]-$I$5)</f>
        <v>22</v>
      </c>
      <c r="O821" s="306"/>
      <c r="P821" s="307"/>
      <c r="Q821" s="306"/>
      <c r="R821" s="306"/>
      <c r="S821" s="306"/>
      <c r="T821" s="306"/>
      <c r="U821" s="306"/>
      <c r="V821" s="5"/>
    </row>
    <row r="822" spans="1:22">
      <c r="A822" s="306" t="s">
        <v>0</v>
      </c>
      <c r="B822" s="307">
        <v>46085</v>
      </c>
      <c r="C822" s="11" t="s">
        <v>41</v>
      </c>
      <c r="D822" s="306">
        <v>441</v>
      </c>
      <c r="E822" s="35" t="s">
        <v>96</v>
      </c>
      <c r="F822" s="26" t="s">
        <v>2</v>
      </c>
      <c r="G822" s="215">
        <v>2042020000150</v>
      </c>
      <c r="H822" s="309">
        <v>858.75</v>
      </c>
      <c r="I822" s="310">
        <v>46127</v>
      </c>
      <c r="J822" s="311" t="s">
        <v>91</v>
      </c>
      <c r="K822" s="306" t="s">
        <v>381</v>
      </c>
      <c r="L822" s="307">
        <v>46086</v>
      </c>
      <c r="M822" s="306" t="str">
        <f ca="1">IF(Tabela4[[#This Row],[RECOMPRADO]]="RECEBIDO","LIQUIDADO",IF(O822="LIQUIDADO","LIQUIDADO",IF(I822&lt;$I$5,"VENCIDO","A VENCER")))</f>
        <v>A VENCER</v>
      </c>
      <c r="N822" s="312">
        <f ca="1">IF(Tabela4[[#This Row],[STATUS]]="LIQUIDADO","",Tabela4[[#This Row],[VCTO]]-$I$5)</f>
        <v>29</v>
      </c>
      <c r="O822" s="306"/>
      <c r="P822" s="307"/>
      <c r="Q822" s="306"/>
      <c r="R822" s="306"/>
      <c r="S822" s="306"/>
      <c r="T822" s="306"/>
      <c r="U822" s="306"/>
      <c r="V822" s="5"/>
    </row>
    <row r="823" spans="1:22">
      <c r="A823" s="306" t="s">
        <v>0</v>
      </c>
      <c r="B823" s="307">
        <v>46085</v>
      </c>
      <c r="C823" s="11" t="s">
        <v>43</v>
      </c>
      <c r="D823" s="306">
        <v>441</v>
      </c>
      <c r="E823" s="35" t="s">
        <v>92</v>
      </c>
      <c r="F823" s="26" t="s">
        <v>2</v>
      </c>
      <c r="G823" s="215">
        <v>2042020000150</v>
      </c>
      <c r="H823" s="309">
        <v>858.75</v>
      </c>
      <c r="I823" s="310">
        <v>46113</v>
      </c>
      <c r="J823" s="311" t="s">
        <v>91</v>
      </c>
      <c r="K823" s="306" t="s">
        <v>381</v>
      </c>
      <c r="L823" s="307">
        <v>46086</v>
      </c>
      <c r="M823" s="306" t="str">
        <f ca="1">IF(Tabela4[[#This Row],[RECOMPRADO]]="RECEBIDO","LIQUIDADO",IF(O823="LIQUIDADO","LIQUIDADO",IF(I823&lt;$I$5,"VENCIDO","A VENCER")))</f>
        <v>A VENCER</v>
      </c>
      <c r="N823" s="312">
        <f ca="1">IF(Tabela4[[#This Row],[STATUS]]="LIQUIDADO","",Tabela4[[#This Row],[VCTO]]-$I$5)</f>
        <v>15</v>
      </c>
      <c r="O823" s="306"/>
      <c r="P823" s="307"/>
      <c r="Q823" s="306"/>
      <c r="R823" s="306"/>
      <c r="S823" s="306"/>
      <c r="T823" s="306"/>
      <c r="U823" s="306"/>
      <c r="V823" s="5"/>
    </row>
    <row r="824" spans="1:22">
      <c r="A824" s="306" t="s">
        <v>0</v>
      </c>
      <c r="B824" s="307">
        <v>46085</v>
      </c>
      <c r="C824" s="11" t="s">
        <v>43</v>
      </c>
      <c r="D824" s="306">
        <v>441</v>
      </c>
      <c r="E824" s="35" t="s">
        <v>95</v>
      </c>
      <c r="F824" s="26" t="s">
        <v>2</v>
      </c>
      <c r="G824" s="215">
        <v>2042020000150</v>
      </c>
      <c r="H824" s="309">
        <v>858.75</v>
      </c>
      <c r="I824" s="310">
        <v>46120</v>
      </c>
      <c r="J824" s="311" t="s">
        <v>91</v>
      </c>
      <c r="K824" s="306" t="s">
        <v>381</v>
      </c>
      <c r="L824" s="307">
        <v>46086</v>
      </c>
      <c r="M824" s="306" t="str">
        <f ca="1">IF(Tabela4[[#This Row],[RECOMPRADO]]="RECEBIDO","LIQUIDADO",IF(O824="LIQUIDADO","LIQUIDADO",IF(I824&lt;$I$5,"VENCIDO","A VENCER")))</f>
        <v>A VENCER</v>
      </c>
      <c r="N824" s="312">
        <f ca="1">IF(Tabela4[[#This Row],[STATUS]]="LIQUIDADO","",Tabela4[[#This Row],[VCTO]]-$I$5)</f>
        <v>22</v>
      </c>
      <c r="O824" s="306"/>
      <c r="P824" s="307"/>
      <c r="Q824" s="306"/>
      <c r="R824" s="306"/>
      <c r="S824" s="306"/>
      <c r="T824" s="306"/>
      <c r="U824" s="306"/>
      <c r="V824" s="5"/>
    </row>
    <row r="825" spans="1:22">
      <c r="A825" s="306" t="s">
        <v>0</v>
      </c>
      <c r="B825" s="307">
        <v>46085</v>
      </c>
      <c r="C825" s="11" t="s">
        <v>43</v>
      </c>
      <c r="D825" s="306">
        <v>441</v>
      </c>
      <c r="E825" s="35" t="s">
        <v>96</v>
      </c>
      <c r="F825" s="26" t="s">
        <v>2</v>
      </c>
      <c r="G825" s="215">
        <v>2042020000150</v>
      </c>
      <c r="H825" s="309">
        <v>858.75</v>
      </c>
      <c r="I825" s="310">
        <v>46127</v>
      </c>
      <c r="J825" s="311" t="s">
        <v>91</v>
      </c>
      <c r="K825" s="306" t="s">
        <v>381</v>
      </c>
      <c r="L825" s="307">
        <v>46086</v>
      </c>
      <c r="M825" s="306" t="str">
        <f ca="1">IF(Tabela4[[#This Row],[RECOMPRADO]]="RECEBIDO","LIQUIDADO",IF(O825="LIQUIDADO","LIQUIDADO",IF(I825&lt;$I$5,"VENCIDO","A VENCER")))</f>
        <v>A VENCER</v>
      </c>
      <c r="N825" s="312">
        <f ca="1">IF(Tabela4[[#This Row],[STATUS]]="LIQUIDADO","",Tabela4[[#This Row],[VCTO]]-$I$5)</f>
        <v>29</v>
      </c>
      <c r="O825" s="306"/>
      <c r="P825" s="307"/>
      <c r="Q825" s="306"/>
      <c r="R825" s="306"/>
      <c r="S825" s="306"/>
      <c r="T825" s="306"/>
      <c r="U825" s="306"/>
      <c r="V825" s="5"/>
    </row>
    <row r="826" spans="1:22">
      <c r="A826" s="306" t="s">
        <v>0</v>
      </c>
      <c r="B826" s="307">
        <v>46085</v>
      </c>
      <c r="C826" s="11" t="s">
        <v>41</v>
      </c>
      <c r="D826" s="306">
        <v>442</v>
      </c>
      <c r="E826" s="35" t="s">
        <v>92</v>
      </c>
      <c r="F826" s="26" t="s">
        <v>396</v>
      </c>
      <c r="G826" s="308">
        <v>53937474000120</v>
      </c>
      <c r="H826" s="309">
        <v>180000</v>
      </c>
      <c r="I826" s="310">
        <v>46115</v>
      </c>
      <c r="J826" s="311" t="s">
        <v>91</v>
      </c>
      <c r="K826" s="306" t="s">
        <v>73</v>
      </c>
      <c r="L826" s="307">
        <v>46085</v>
      </c>
      <c r="M826" s="306" t="str">
        <f ca="1">IF(Tabela4[[#This Row],[RECOMPRADO]]="RECEBIDO","LIQUIDADO",IF(O826="LIQUIDADO","LIQUIDADO",IF(I826&lt;$I$5,"VENCIDO","A VENCER")))</f>
        <v>A VENCER</v>
      </c>
      <c r="N826" s="312">
        <f ca="1">IF(Tabela4[[#This Row],[STATUS]]="LIQUIDADO","",Tabela4[[#This Row],[VCTO]]-$I$5)</f>
        <v>17</v>
      </c>
      <c r="O826" s="306"/>
      <c r="P826" s="307"/>
      <c r="Q826" s="306"/>
      <c r="R826" s="306"/>
      <c r="S826" s="306"/>
      <c r="T826" s="26" t="s">
        <v>569</v>
      </c>
      <c r="U826" s="26"/>
      <c r="V826" s="5"/>
    </row>
    <row r="827" spans="1:22">
      <c r="A827" s="306" t="s">
        <v>0</v>
      </c>
      <c r="B827" s="307">
        <v>46085</v>
      </c>
      <c r="C827" s="11" t="s">
        <v>41</v>
      </c>
      <c r="D827" s="306">
        <v>443</v>
      </c>
      <c r="E827" s="35" t="s">
        <v>92</v>
      </c>
      <c r="F827" s="26" t="s">
        <v>571</v>
      </c>
      <c r="G827" s="308">
        <v>31126150000170</v>
      </c>
      <c r="H827" s="309">
        <v>1148.33</v>
      </c>
      <c r="I827" s="310">
        <v>46113</v>
      </c>
      <c r="J827" s="311" t="s">
        <v>91</v>
      </c>
      <c r="K827" s="306" t="s">
        <v>381</v>
      </c>
      <c r="L827" s="307">
        <v>46086</v>
      </c>
      <c r="M827" s="306" t="str">
        <f ca="1">IF(Tabela4[[#This Row],[RECOMPRADO]]="RECEBIDO","LIQUIDADO",IF(O827="LIQUIDADO","LIQUIDADO",IF(I827&lt;$I$5,"VENCIDO","A VENCER")))</f>
        <v>A VENCER</v>
      </c>
      <c r="N827" s="312">
        <f ca="1">IF(Tabela4[[#This Row],[STATUS]]="LIQUIDADO","",Tabela4[[#This Row],[VCTO]]-$I$5)</f>
        <v>15</v>
      </c>
      <c r="O827" s="306"/>
      <c r="P827" s="307"/>
      <c r="Q827" s="306"/>
      <c r="R827" s="306"/>
      <c r="S827" s="306"/>
      <c r="T827" s="26" t="s">
        <v>605</v>
      </c>
      <c r="U827" s="26"/>
      <c r="V827" s="5"/>
    </row>
    <row r="828" spans="1:22">
      <c r="A828" s="306" t="s">
        <v>0</v>
      </c>
      <c r="B828" s="307">
        <v>46085</v>
      </c>
      <c r="C828" s="11" t="s">
        <v>41</v>
      </c>
      <c r="D828" s="306">
        <v>443</v>
      </c>
      <c r="E828" s="35" t="s">
        <v>95</v>
      </c>
      <c r="F828" s="26" t="s">
        <v>571</v>
      </c>
      <c r="G828" s="308">
        <v>31126150000170</v>
      </c>
      <c r="H828" s="309">
        <v>1148.33</v>
      </c>
      <c r="I828" s="310">
        <v>46120</v>
      </c>
      <c r="J828" s="311" t="s">
        <v>91</v>
      </c>
      <c r="K828" s="306" t="s">
        <v>381</v>
      </c>
      <c r="L828" s="307">
        <v>46086</v>
      </c>
      <c r="M828" s="306" t="str">
        <f ca="1">IF(Tabela4[[#This Row],[RECOMPRADO]]="RECEBIDO","LIQUIDADO",IF(O828="LIQUIDADO","LIQUIDADO",IF(I828&lt;$I$5,"VENCIDO","A VENCER")))</f>
        <v>A VENCER</v>
      </c>
      <c r="N828" s="312">
        <f ca="1">IF(Tabela4[[#This Row],[STATUS]]="LIQUIDADO","",Tabela4[[#This Row],[VCTO]]-$I$5)</f>
        <v>22</v>
      </c>
      <c r="O828" s="306"/>
      <c r="P828" s="307"/>
      <c r="Q828" s="306"/>
      <c r="R828" s="306"/>
      <c r="S828" s="306"/>
      <c r="T828" s="26" t="s">
        <v>605</v>
      </c>
      <c r="U828" s="26"/>
      <c r="V828" s="5"/>
    </row>
    <row r="829" spans="1:22">
      <c r="A829" s="306" t="s">
        <v>0</v>
      </c>
      <c r="B829" s="307">
        <v>46085</v>
      </c>
      <c r="C829" s="11" t="s">
        <v>41</v>
      </c>
      <c r="D829" s="306">
        <v>443</v>
      </c>
      <c r="E829" s="35" t="s">
        <v>96</v>
      </c>
      <c r="F829" s="26" t="s">
        <v>571</v>
      </c>
      <c r="G829" s="308">
        <v>31126150000170</v>
      </c>
      <c r="H829" s="309">
        <v>1148.33</v>
      </c>
      <c r="I829" s="310">
        <v>46127</v>
      </c>
      <c r="J829" s="311" t="s">
        <v>91</v>
      </c>
      <c r="K829" s="306" t="s">
        <v>381</v>
      </c>
      <c r="L829" s="307">
        <v>46086</v>
      </c>
      <c r="M829" s="306" t="str">
        <f ca="1">IF(Tabela4[[#This Row],[RECOMPRADO]]="RECEBIDO","LIQUIDADO",IF(O829="LIQUIDADO","LIQUIDADO",IF(I829&lt;$I$5,"VENCIDO","A VENCER")))</f>
        <v>A VENCER</v>
      </c>
      <c r="N829" s="312">
        <f ca="1">IF(Tabela4[[#This Row],[STATUS]]="LIQUIDADO","",Tabela4[[#This Row],[VCTO]]-$I$5)</f>
        <v>29</v>
      </c>
      <c r="O829" s="306"/>
      <c r="P829" s="307"/>
      <c r="Q829" s="306"/>
      <c r="R829" s="306"/>
      <c r="S829" s="306"/>
      <c r="T829" s="26" t="s">
        <v>605</v>
      </c>
      <c r="U829" s="26"/>
      <c r="V829" s="5"/>
    </row>
    <row r="830" spans="1:22">
      <c r="A830" s="26" t="s">
        <v>108</v>
      </c>
      <c r="B830" s="307">
        <v>46085</v>
      </c>
      <c r="C830" s="11" t="s">
        <v>41</v>
      </c>
      <c r="D830" s="306">
        <v>725</v>
      </c>
      <c r="E830" s="35" t="s">
        <v>92</v>
      </c>
      <c r="F830" s="26" t="s">
        <v>572</v>
      </c>
      <c r="G830" s="308">
        <v>1684215000131</v>
      </c>
      <c r="H830" s="309">
        <v>11000</v>
      </c>
      <c r="I830" s="310">
        <v>46085</v>
      </c>
      <c r="J830" s="311" t="s">
        <v>125</v>
      </c>
      <c r="K830" s="306"/>
      <c r="L830" s="307"/>
      <c r="M830" s="306" t="str">
        <f>IF(Tabela4[[#This Row],[RECOMPRADO]]="RECEBIDO","LIQUIDADO",IF(O830="LIQUIDADO","LIQUIDADO",IF(I830&lt;$I$5,"VENCIDO","A VENCER")))</f>
        <v>LIQUIDADO</v>
      </c>
      <c r="N830" s="312" t="str">
        <f>IF(Tabela4[[#This Row],[STATUS]]="LIQUIDADO","",Tabela4[[#This Row],[VCTO]]-$I$5)</f>
        <v/>
      </c>
      <c r="O830" s="306" t="s">
        <v>86</v>
      </c>
      <c r="P830" s="307"/>
      <c r="Q830" s="306"/>
      <c r="R830" s="306"/>
      <c r="S830" s="306"/>
      <c r="T830" s="26" t="s">
        <v>573</v>
      </c>
      <c r="U830" s="26"/>
      <c r="V830" s="5"/>
    </row>
    <row r="831" spans="1:22">
      <c r="A831" s="306" t="s">
        <v>0</v>
      </c>
      <c r="B831" s="307">
        <v>46086</v>
      </c>
      <c r="C831" s="11" t="s">
        <v>41</v>
      </c>
      <c r="D831" s="306">
        <v>448</v>
      </c>
      <c r="E831" s="35" t="s">
        <v>92</v>
      </c>
      <c r="F831" s="26" t="s">
        <v>578</v>
      </c>
      <c r="G831" s="308">
        <v>47887852000106</v>
      </c>
      <c r="H831" s="309">
        <v>2025.8</v>
      </c>
      <c r="I831" s="310">
        <v>46108</v>
      </c>
      <c r="J831" s="311" t="s">
        <v>91</v>
      </c>
      <c r="K831" s="306" t="s">
        <v>73</v>
      </c>
      <c r="L831" s="307">
        <v>46087</v>
      </c>
      <c r="M831" s="306" t="str">
        <f ca="1">IF(Tabela4[[#This Row],[RECOMPRADO]]="RECEBIDO","LIQUIDADO",IF(O831="LIQUIDADO","LIQUIDADO",IF(I831&lt;$I$5,"VENCIDO","A VENCER")))</f>
        <v>A VENCER</v>
      </c>
      <c r="N831" s="312">
        <f ca="1">IF(Tabela4[[#This Row],[STATUS]]="LIQUIDADO","",Tabela4[[#This Row],[VCTO]]-$I$5)</f>
        <v>10</v>
      </c>
      <c r="O831" s="306"/>
      <c r="P831" s="307"/>
      <c r="Q831" s="306"/>
      <c r="R831" s="306"/>
      <c r="S831" s="306"/>
      <c r="T831" s="306"/>
      <c r="U831" s="306"/>
      <c r="V831" s="5"/>
    </row>
    <row r="832" spans="1:22">
      <c r="A832" s="306" t="s">
        <v>0</v>
      </c>
      <c r="B832" s="307">
        <v>46086</v>
      </c>
      <c r="C832" s="11" t="s">
        <v>41</v>
      </c>
      <c r="D832" s="306">
        <v>448</v>
      </c>
      <c r="E832" s="35" t="s">
        <v>95</v>
      </c>
      <c r="F832" s="26" t="s">
        <v>578</v>
      </c>
      <c r="G832" s="308">
        <v>47887852000106</v>
      </c>
      <c r="H832" s="309">
        <v>2025.8</v>
      </c>
      <c r="I832" s="310">
        <v>46115</v>
      </c>
      <c r="J832" s="311" t="s">
        <v>91</v>
      </c>
      <c r="K832" s="306" t="s">
        <v>73</v>
      </c>
      <c r="L832" s="307">
        <v>46087</v>
      </c>
      <c r="M832" s="306" t="str">
        <f ca="1">IF(Tabela4[[#This Row],[RECOMPRADO]]="RECEBIDO","LIQUIDADO",IF(O832="LIQUIDADO","LIQUIDADO",IF(I832&lt;$I$5,"VENCIDO","A VENCER")))</f>
        <v>A VENCER</v>
      </c>
      <c r="N832" s="312">
        <f ca="1">IF(Tabela4[[#This Row],[STATUS]]="LIQUIDADO","",Tabela4[[#This Row],[VCTO]]-$I$5)</f>
        <v>17</v>
      </c>
      <c r="O832" s="306"/>
      <c r="P832" s="307"/>
      <c r="Q832" s="306"/>
      <c r="R832" s="306"/>
      <c r="S832" s="306"/>
      <c r="T832" s="306"/>
      <c r="U832" s="306"/>
      <c r="V832" s="5"/>
    </row>
    <row r="833" spans="1:22">
      <c r="A833" s="306" t="s">
        <v>0</v>
      </c>
      <c r="B833" s="307">
        <v>46086</v>
      </c>
      <c r="C833" s="11" t="s">
        <v>41</v>
      </c>
      <c r="D833" s="306">
        <v>448</v>
      </c>
      <c r="E833" s="35" t="s">
        <v>96</v>
      </c>
      <c r="F833" s="26" t="s">
        <v>578</v>
      </c>
      <c r="G833" s="308">
        <v>47887852000106</v>
      </c>
      <c r="H833" s="309">
        <v>2025.8</v>
      </c>
      <c r="I833" s="310">
        <v>46122</v>
      </c>
      <c r="J833" s="311" t="s">
        <v>91</v>
      </c>
      <c r="K833" s="306" t="s">
        <v>73</v>
      </c>
      <c r="L833" s="307">
        <v>46087</v>
      </c>
      <c r="M833" s="306" t="str">
        <f ca="1">IF(Tabela4[[#This Row],[RECOMPRADO]]="RECEBIDO","LIQUIDADO",IF(O833="LIQUIDADO","LIQUIDADO",IF(I833&lt;$I$5,"VENCIDO","A VENCER")))</f>
        <v>A VENCER</v>
      </c>
      <c r="N833" s="312">
        <f ca="1">IF(Tabela4[[#This Row],[STATUS]]="LIQUIDADO","",Tabela4[[#This Row],[VCTO]]-$I$5)</f>
        <v>24</v>
      </c>
      <c r="O833" s="306"/>
      <c r="P833" s="307"/>
      <c r="Q833" s="306"/>
      <c r="R833" s="306"/>
      <c r="S833" s="306"/>
      <c r="T833" s="306"/>
      <c r="U833" s="306"/>
      <c r="V833" s="5"/>
    </row>
    <row r="834" spans="1:22">
      <c r="A834" s="306" t="s">
        <v>0</v>
      </c>
      <c r="B834" s="307">
        <v>46086</v>
      </c>
      <c r="C834" s="11" t="s">
        <v>41</v>
      </c>
      <c r="D834" s="306">
        <v>447</v>
      </c>
      <c r="E834" s="35" t="s">
        <v>92</v>
      </c>
      <c r="F834" s="26" t="s">
        <v>257</v>
      </c>
      <c r="G834" s="308">
        <v>843474200137</v>
      </c>
      <c r="H834" s="309">
        <v>5582.73</v>
      </c>
      <c r="I834" s="310">
        <v>46094</v>
      </c>
      <c r="J834" s="311" t="s">
        <v>125</v>
      </c>
      <c r="K834" s="306" t="s">
        <v>0</v>
      </c>
      <c r="L834" s="11" t="s">
        <v>485</v>
      </c>
      <c r="M834" s="306" t="str">
        <f>IF(Tabela4[[#This Row],[RECOMPRADO]]="RECEBIDO","LIQUIDADO",IF(O834="LIQUIDADO","LIQUIDADO",IF(I834&lt;$I$5,"VENCIDO","A VENCER")))</f>
        <v>LIQUIDADO</v>
      </c>
      <c r="N834" s="312" t="str">
        <f>IF(Tabela4[[#This Row],[STATUS]]="LIQUIDADO","",Tabela4[[#This Row],[VCTO]]-$I$5)</f>
        <v/>
      </c>
      <c r="O834" s="306" t="s">
        <v>86</v>
      </c>
      <c r="P834" s="307"/>
      <c r="Q834" s="306"/>
      <c r="R834" s="306"/>
      <c r="S834" s="306"/>
      <c r="T834" s="26" t="s">
        <v>579</v>
      </c>
      <c r="U834" s="26"/>
      <c r="V834" s="5"/>
    </row>
    <row r="835" spans="1:22">
      <c r="A835" s="306" t="s">
        <v>0</v>
      </c>
      <c r="B835" s="307">
        <v>46086</v>
      </c>
      <c r="C835" s="11" t="s">
        <v>41</v>
      </c>
      <c r="D835" s="306">
        <v>452</v>
      </c>
      <c r="E835" s="35" t="s">
        <v>92</v>
      </c>
      <c r="F835" s="26" t="s">
        <v>401</v>
      </c>
      <c r="G835" s="308">
        <v>2627166000168</v>
      </c>
      <c r="H835" s="309">
        <v>3000</v>
      </c>
      <c r="I835" s="310">
        <v>46115</v>
      </c>
      <c r="J835" s="311" t="s">
        <v>91</v>
      </c>
      <c r="K835" s="306" t="s">
        <v>73</v>
      </c>
      <c r="L835" s="307">
        <v>46087</v>
      </c>
      <c r="M835" s="306" t="str">
        <f ca="1">IF(Tabela4[[#This Row],[RECOMPRADO]]="RECEBIDO","LIQUIDADO",IF(O835="LIQUIDADO","LIQUIDADO",IF(I835&lt;$I$5,"VENCIDO","A VENCER")))</f>
        <v>A VENCER</v>
      </c>
      <c r="N835" s="312">
        <f ca="1">IF(Tabela4[[#This Row],[STATUS]]="LIQUIDADO","",Tabela4[[#This Row],[VCTO]]-$I$5)</f>
        <v>17</v>
      </c>
      <c r="O835" s="306"/>
      <c r="P835" s="307"/>
      <c r="Q835" s="306"/>
      <c r="R835" s="306"/>
      <c r="S835" s="306"/>
      <c r="T835" s="306"/>
      <c r="U835" s="306"/>
      <c r="V835" s="5"/>
    </row>
    <row r="836" spans="1:22">
      <c r="A836" s="306" t="s">
        <v>0</v>
      </c>
      <c r="B836" s="307">
        <v>46086</v>
      </c>
      <c r="C836" s="11" t="s">
        <v>41</v>
      </c>
      <c r="D836" s="306">
        <v>450</v>
      </c>
      <c r="E836" s="35" t="s">
        <v>92</v>
      </c>
      <c r="F836" s="26" t="s">
        <v>267</v>
      </c>
      <c r="G836" s="308">
        <v>2089195300102</v>
      </c>
      <c r="H836" s="309">
        <v>8040</v>
      </c>
      <c r="I836" s="310">
        <v>46122</v>
      </c>
      <c r="J836" s="311" t="s">
        <v>91</v>
      </c>
      <c r="K836" s="306" t="s">
        <v>381</v>
      </c>
      <c r="L836" s="307">
        <v>46086</v>
      </c>
      <c r="M836" s="306" t="str">
        <f ca="1">IF(Tabela4[[#This Row],[RECOMPRADO]]="RECEBIDO","LIQUIDADO",IF(O836="LIQUIDADO","LIQUIDADO",IF(I836&lt;$I$5,"VENCIDO","A VENCER")))</f>
        <v>A VENCER</v>
      </c>
      <c r="N836" s="312">
        <f ca="1">IF(Tabela4[[#This Row],[STATUS]]="LIQUIDADO","",Tabela4[[#This Row],[VCTO]]-$I$5)</f>
        <v>24</v>
      </c>
      <c r="O836" s="306"/>
      <c r="P836" s="307"/>
      <c r="Q836" s="306"/>
      <c r="R836" s="306"/>
      <c r="S836" s="306"/>
      <c r="T836" s="306"/>
      <c r="U836" s="306"/>
      <c r="V836" s="5"/>
    </row>
    <row r="837" spans="1:22">
      <c r="A837" s="306" t="s">
        <v>0</v>
      </c>
      <c r="B837" s="307">
        <v>46086</v>
      </c>
      <c r="C837" s="11" t="s">
        <v>43</v>
      </c>
      <c r="D837" s="306">
        <v>450</v>
      </c>
      <c r="E837" s="35" t="s">
        <v>92</v>
      </c>
      <c r="F837" s="26" t="s">
        <v>267</v>
      </c>
      <c r="G837" s="308">
        <v>2089195300102</v>
      </c>
      <c r="H837" s="309">
        <v>8040</v>
      </c>
      <c r="I837" s="310">
        <v>46122</v>
      </c>
      <c r="J837" s="311" t="s">
        <v>91</v>
      </c>
      <c r="K837" s="306" t="s">
        <v>381</v>
      </c>
      <c r="L837" s="307">
        <v>46086</v>
      </c>
      <c r="M837" s="306" t="str">
        <f ca="1">IF(Tabela4[[#This Row],[RECOMPRADO]]="RECEBIDO","LIQUIDADO",IF(O837="LIQUIDADO","LIQUIDADO",IF(I837&lt;$I$5,"VENCIDO","A VENCER")))</f>
        <v>A VENCER</v>
      </c>
      <c r="N837" s="312">
        <f ca="1">IF(Tabela4[[#This Row],[STATUS]]="LIQUIDADO","",Tabela4[[#This Row],[VCTO]]-$I$5)</f>
        <v>24</v>
      </c>
      <c r="O837" s="306"/>
      <c r="P837" s="307"/>
      <c r="Q837" s="306"/>
      <c r="R837" s="306"/>
      <c r="S837" s="306"/>
      <c r="T837" s="306"/>
      <c r="U837" s="306"/>
      <c r="V837" s="5"/>
    </row>
    <row r="838" spans="1:22">
      <c r="A838" s="306" t="s">
        <v>0</v>
      </c>
      <c r="B838" s="307">
        <v>46086</v>
      </c>
      <c r="C838" s="11" t="s">
        <v>41</v>
      </c>
      <c r="D838" s="306">
        <v>449</v>
      </c>
      <c r="E838" s="35" t="s">
        <v>92</v>
      </c>
      <c r="F838" s="26" t="s">
        <v>267</v>
      </c>
      <c r="G838" s="308">
        <v>2089195300102</v>
      </c>
      <c r="H838" s="309">
        <v>8496.9</v>
      </c>
      <c r="I838" s="310">
        <v>46122</v>
      </c>
      <c r="J838" s="311" t="s">
        <v>91</v>
      </c>
      <c r="K838" s="306" t="s">
        <v>381</v>
      </c>
      <c r="L838" s="307">
        <v>46086</v>
      </c>
      <c r="M838" s="306" t="str">
        <f ca="1">IF(Tabela4[[#This Row],[RECOMPRADO]]="RECEBIDO","LIQUIDADO",IF(O838="LIQUIDADO","LIQUIDADO",IF(I838&lt;$I$5,"VENCIDO","A VENCER")))</f>
        <v>A VENCER</v>
      </c>
      <c r="N838" s="312">
        <f ca="1">IF(Tabela4[[#This Row],[STATUS]]="LIQUIDADO","",Tabela4[[#This Row],[VCTO]]-$I$5)</f>
        <v>24</v>
      </c>
      <c r="O838" s="306"/>
      <c r="P838" s="307"/>
      <c r="Q838" s="306"/>
      <c r="R838" s="306"/>
      <c r="S838" s="306"/>
      <c r="T838" s="306"/>
      <c r="U838" s="306"/>
      <c r="V838" s="5"/>
    </row>
    <row r="839" spans="1:22">
      <c r="A839" s="306" t="s">
        <v>0</v>
      </c>
      <c r="B839" s="307">
        <v>46086</v>
      </c>
      <c r="C839" s="11" t="s">
        <v>43</v>
      </c>
      <c r="D839" s="306">
        <v>449</v>
      </c>
      <c r="E839" s="35" t="s">
        <v>92</v>
      </c>
      <c r="F839" s="26" t="s">
        <v>267</v>
      </c>
      <c r="G839" s="308">
        <v>2089195300102</v>
      </c>
      <c r="H839" s="309">
        <v>8496.4</v>
      </c>
      <c r="I839" s="310">
        <v>46122</v>
      </c>
      <c r="J839" s="311" t="s">
        <v>91</v>
      </c>
      <c r="K839" s="306" t="s">
        <v>381</v>
      </c>
      <c r="L839" s="307">
        <v>46086</v>
      </c>
      <c r="M839" s="306" t="str">
        <f ca="1">IF(Tabela4[[#This Row],[RECOMPRADO]]="RECEBIDO","LIQUIDADO",IF(O839="LIQUIDADO","LIQUIDADO",IF(I839&lt;$I$5,"VENCIDO","A VENCER")))</f>
        <v>A VENCER</v>
      </c>
      <c r="N839" s="312">
        <f ca="1">IF(Tabela4[[#This Row],[STATUS]]="LIQUIDADO","",Tabela4[[#This Row],[VCTO]]-$I$5)</f>
        <v>24</v>
      </c>
      <c r="O839" s="306"/>
      <c r="P839" s="307"/>
      <c r="Q839" s="306"/>
      <c r="R839" s="306"/>
      <c r="S839" s="306"/>
      <c r="T839" s="306"/>
      <c r="U839" s="306"/>
      <c r="V839" s="5"/>
    </row>
    <row r="840" spans="1:22">
      <c r="A840" s="306" t="s">
        <v>0</v>
      </c>
      <c r="B840" s="307">
        <v>46086</v>
      </c>
      <c r="C840" s="11" t="s">
        <v>41</v>
      </c>
      <c r="D840" s="306">
        <v>727</v>
      </c>
      <c r="E840" s="35" t="s">
        <v>92</v>
      </c>
      <c r="F840" s="26" t="s">
        <v>32</v>
      </c>
      <c r="G840" s="308">
        <v>55060017000126</v>
      </c>
      <c r="H840" s="309">
        <v>7920</v>
      </c>
      <c r="I840" s="310">
        <v>46117</v>
      </c>
      <c r="J840" s="311" t="s">
        <v>91</v>
      </c>
      <c r="K840" s="306" t="s">
        <v>72</v>
      </c>
      <c r="L840" s="307">
        <v>46090</v>
      </c>
      <c r="M840" s="306" t="str">
        <f ca="1">IF(Tabela4[[#This Row],[RECOMPRADO]]="RECEBIDO","LIQUIDADO",IF(O840="LIQUIDADO","LIQUIDADO",IF(I840&lt;$I$5,"VENCIDO","A VENCER")))</f>
        <v>A VENCER</v>
      </c>
      <c r="N840" s="312">
        <f ca="1">IF(Tabela4[[#This Row],[STATUS]]="LIQUIDADO","",Tabela4[[#This Row],[VCTO]]-$I$5)</f>
        <v>19</v>
      </c>
      <c r="O840" s="306"/>
      <c r="P840" s="307"/>
      <c r="Q840" s="306"/>
      <c r="R840" s="306"/>
      <c r="S840" s="306"/>
      <c r="T840" s="26" t="s">
        <v>388</v>
      </c>
      <c r="U840" s="26"/>
      <c r="V840" s="5" t="s">
        <v>635</v>
      </c>
    </row>
    <row r="841" spans="1:22">
      <c r="A841" s="306" t="s">
        <v>0</v>
      </c>
      <c r="B841" s="307">
        <v>46086</v>
      </c>
      <c r="C841" s="307" t="s">
        <v>41</v>
      </c>
      <c r="D841" s="306">
        <v>727</v>
      </c>
      <c r="E841" s="35" t="s">
        <v>95</v>
      </c>
      <c r="F841" s="26" t="s">
        <v>32</v>
      </c>
      <c r="G841" s="308">
        <v>55060017000126</v>
      </c>
      <c r="H841" s="309">
        <v>7920</v>
      </c>
      <c r="I841" s="310">
        <v>46147</v>
      </c>
      <c r="J841" s="311" t="s">
        <v>91</v>
      </c>
      <c r="K841" s="306" t="s">
        <v>72</v>
      </c>
      <c r="L841" s="307">
        <v>46090</v>
      </c>
      <c r="M841" s="306" t="str">
        <f ca="1">IF(Tabela4[[#This Row],[RECOMPRADO]]="RECEBIDO","LIQUIDADO",IF(O841="LIQUIDADO","LIQUIDADO",IF(I841&lt;$I$5,"VENCIDO","A VENCER")))</f>
        <v>A VENCER</v>
      </c>
      <c r="N841" s="312">
        <f ca="1">IF(Tabela4[[#This Row],[STATUS]]="LIQUIDADO","",Tabela4[[#This Row],[VCTO]]-$I$5)</f>
        <v>49</v>
      </c>
      <c r="O841" s="306"/>
      <c r="P841" s="307"/>
      <c r="Q841" s="306"/>
      <c r="R841" s="306"/>
      <c r="S841" s="306"/>
      <c r="T841" s="26" t="s">
        <v>388</v>
      </c>
      <c r="U841" s="26"/>
      <c r="V841" s="5" t="s">
        <v>635</v>
      </c>
    </row>
    <row r="842" spans="1:22">
      <c r="A842" s="306" t="s">
        <v>0</v>
      </c>
      <c r="B842" s="307">
        <v>46086</v>
      </c>
      <c r="C842" s="11" t="s">
        <v>41</v>
      </c>
      <c r="D842" s="306">
        <v>462</v>
      </c>
      <c r="E842" s="35" t="s">
        <v>92</v>
      </c>
      <c r="F842" s="26" t="s">
        <v>582</v>
      </c>
      <c r="G842" s="308">
        <v>14638801000191</v>
      </c>
      <c r="H842" s="309">
        <v>1355.58</v>
      </c>
      <c r="I842" s="310">
        <v>46121</v>
      </c>
      <c r="J842" s="311" t="s">
        <v>91</v>
      </c>
      <c r="K842" s="306" t="s">
        <v>381</v>
      </c>
      <c r="L842" s="307">
        <v>46087</v>
      </c>
      <c r="M842" s="306" t="str">
        <f ca="1">IF(Tabela4[[#This Row],[RECOMPRADO]]="RECEBIDO","LIQUIDADO",IF(O842="LIQUIDADO","LIQUIDADO",IF(I842&lt;$I$5,"VENCIDO","A VENCER")))</f>
        <v>A VENCER</v>
      </c>
      <c r="N842" s="312">
        <f ca="1">IF(Tabela4[[#This Row],[STATUS]]="LIQUIDADO","",Tabela4[[#This Row],[VCTO]]-$I$5)</f>
        <v>23</v>
      </c>
      <c r="O842" s="306"/>
      <c r="P842" s="307"/>
      <c r="Q842" s="306"/>
      <c r="R842" s="306"/>
      <c r="S842" s="306"/>
      <c r="T842" s="306"/>
      <c r="U842" s="306"/>
      <c r="V842" s="5"/>
    </row>
    <row r="843" spans="1:22">
      <c r="A843" s="306" t="s">
        <v>0</v>
      </c>
      <c r="B843" s="307">
        <v>46086</v>
      </c>
      <c r="C843" s="11" t="s">
        <v>41</v>
      </c>
      <c r="D843" s="306">
        <v>462</v>
      </c>
      <c r="E843" s="35" t="s">
        <v>95</v>
      </c>
      <c r="F843" s="26" t="s">
        <v>582</v>
      </c>
      <c r="G843" s="308">
        <v>14638801000191</v>
      </c>
      <c r="H843" s="309">
        <v>1355.58</v>
      </c>
      <c r="I843" s="310">
        <v>46128</v>
      </c>
      <c r="J843" s="311" t="s">
        <v>91</v>
      </c>
      <c r="K843" s="306" t="s">
        <v>381</v>
      </c>
      <c r="L843" s="307">
        <v>46087</v>
      </c>
      <c r="M843" s="306" t="str">
        <f ca="1">IF(Tabela4[[#This Row],[RECOMPRADO]]="RECEBIDO","LIQUIDADO",IF(O843="LIQUIDADO","LIQUIDADO",IF(I843&lt;$I$5,"VENCIDO","A VENCER")))</f>
        <v>A VENCER</v>
      </c>
      <c r="N843" s="312">
        <f ca="1">IF(Tabela4[[#This Row],[STATUS]]="LIQUIDADO","",Tabela4[[#This Row],[VCTO]]-$I$5)</f>
        <v>30</v>
      </c>
      <c r="O843" s="306"/>
      <c r="P843" s="307"/>
      <c r="Q843" s="306"/>
      <c r="R843" s="306"/>
      <c r="S843" s="306"/>
      <c r="T843" s="306"/>
      <c r="U843" s="306"/>
      <c r="V843" s="5"/>
    </row>
    <row r="844" spans="1:22">
      <c r="A844" s="306" t="s">
        <v>0</v>
      </c>
      <c r="B844" s="307">
        <v>46086</v>
      </c>
      <c r="C844" s="11" t="s">
        <v>41</v>
      </c>
      <c r="D844" s="306">
        <v>462</v>
      </c>
      <c r="E844" s="35" t="s">
        <v>96</v>
      </c>
      <c r="F844" s="26" t="s">
        <v>582</v>
      </c>
      <c r="G844" s="308">
        <v>14638801000191</v>
      </c>
      <c r="H844" s="309">
        <v>1355.58</v>
      </c>
      <c r="I844" s="310">
        <v>46135</v>
      </c>
      <c r="J844" s="311" t="s">
        <v>91</v>
      </c>
      <c r="K844" s="306" t="s">
        <v>381</v>
      </c>
      <c r="L844" s="307">
        <v>46087</v>
      </c>
      <c r="M844" s="306" t="str">
        <f ca="1">IF(Tabela4[[#This Row],[RECOMPRADO]]="RECEBIDO","LIQUIDADO",IF(O844="LIQUIDADO","LIQUIDADO",IF(I844&lt;$I$5,"VENCIDO","A VENCER")))</f>
        <v>A VENCER</v>
      </c>
      <c r="N844" s="312">
        <f ca="1">IF(Tabela4[[#This Row],[STATUS]]="LIQUIDADO","",Tabela4[[#This Row],[VCTO]]-$I$5)</f>
        <v>37</v>
      </c>
      <c r="O844" s="306"/>
      <c r="P844" s="307"/>
      <c r="Q844" s="306"/>
      <c r="R844" s="306"/>
      <c r="S844" s="306"/>
      <c r="T844" s="306"/>
      <c r="U844" s="306"/>
      <c r="V844" s="5"/>
    </row>
    <row r="845" spans="1:22">
      <c r="A845" s="306" t="s">
        <v>0</v>
      </c>
      <c r="B845" s="307">
        <v>46086</v>
      </c>
      <c r="C845" s="11" t="s">
        <v>41</v>
      </c>
      <c r="D845" s="306">
        <v>462</v>
      </c>
      <c r="E845" s="35" t="s">
        <v>97</v>
      </c>
      <c r="F845" s="26" t="s">
        <v>582</v>
      </c>
      <c r="G845" s="308">
        <v>14638801000191</v>
      </c>
      <c r="H845" s="309">
        <v>1355.58</v>
      </c>
      <c r="I845" s="310">
        <v>46142</v>
      </c>
      <c r="J845" s="311" t="s">
        <v>91</v>
      </c>
      <c r="K845" s="306" t="s">
        <v>381</v>
      </c>
      <c r="L845" s="307">
        <v>46087</v>
      </c>
      <c r="M845" s="306" t="str">
        <f ca="1">IF(Tabela4[[#This Row],[RECOMPRADO]]="RECEBIDO","LIQUIDADO",IF(O845="LIQUIDADO","LIQUIDADO",IF(I845&lt;$I$5,"VENCIDO","A VENCER")))</f>
        <v>A VENCER</v>
      </c>
      <c r="N845" s="312">
        <f ca="1">IF(Tabela4[[#This Row],[STATUS]]="LIQUIDADO","",Tabela4[[#This Row],[VCTO]]-$I$5)</f>
        <v>44</v>
      </c>
      <c r="O845" s="306"/>
      <c r="P845" s="307"/>
      <c r="Q845" s="306"/>
      <c r="R845" s="306"/>
      <c r="S845" s="306"/>
      <c r="T845" s="306"/>
      <c r="U845" s="306"/>
      <c r="V845" s="5"/>
    </row>
    <row r="846" spans="1:22">
      <c r="A846" s="306" t="s">
        <v>0</v>
      </c>
      <c r="B846" s="307">
        <v>46086</v>
      </c>
      <c r="C846" s="11" t="s">
        <v>41</v>
      </c>
      <c r="D846" s="306">
        <v>462</v>
      </c>
      <c r="E846" s="35" t="s">
        <v>98</v>
      </c>
      <c r="F846" s="26" t="s">
        <v>582</v>
      </c>
      <c r="G846" s="308">
        <v>14638801000191</v>
      </c>
      <c r="H846" s="309">
        <v>1355.58</v>
      </c>
      <c r="I846" s="310">
        <v>46149</v>
      </c>
      <c r="J846" s="311" t="s">
        <v>91</v>
      </c>
      <c r="K846" s="306" t="s">
        <v>381</v>
      </c>
      <c r="L846" s="307">
        <v>46087</v>
      </c>
      <c r="M846" s="306" t="str">
        <f ca="1">IF(Tabela4[[#This Row],[RECOMPRADO]]="RECEBIDO","LIQUIDADO",IF(O846="LIQUIDADO","LIQUIDADO",IF(I846&lt;$I$5,"VENCIDO","A VENCER")))</f>
        <v>A VENCER</v>
      </c>
      <c r="N846" s="312">
        <f ca="1">IF(Tabela4[[#This Row],[STATUS]]="LIQUIDADO","",Tabela4[[#This Row],[VCTO]]-$I$5)</f>
        <v>51</v>
      </c>
      <c r="O846" s="306"/>
      <c r="P846" s="307"/>
      <c r="Q846" s="306"/>
      <c r="R846" s="306"/>
      <c r="S846" s="306"/>
      <c r="T846" s="306"/>
      <c r="U846" s="306"/>
      <c r="V846" s="5"/>
    </row>
    <row r="847" spans="1:22">
      <c r="A847" s="306" t="s">
        <v>0</v>
      </c>
      <c r="B847" s="307">
        <v>46086</v>
      </c>
      <c r="C847" s="11" t="s">
        <v>43</v>
      </c>
      <c r="D847" s="306">
        <v>462</v>
      </c>
      <c r="E847" s="35" t="s">
        <v>92</v>
      </c>
      <c r="F847" s="26" t="s">
        <v>582</v>
      </c>
      <c r="G847" s="308">
        <v>14638801000191</v>
      </c>
      <c r="H847" s="309">
        <v>3163.02</v>
      </c>
      <c r="I847" s="310">
        <v>46121</v>
      </c>
      <c r="J847" s="311" t="s">
        <v>91</v>
      </c>
      <c r="K847" s="306" t="s">
        <v>381</v>
      </c>
      <c r="L847" s="307">
        <v>46087</v>
      </c>
      <c r="M847" s="306" t="str">
        <f ca="1">IF(Tabela4[[#This Row],[RECOMPRADO]]="RECEBIDO","LIQUIDADO",IF(O847="LIQUIDADO","LIQUIDADO",IF(I847&lt;$I$5,"VENCIDO","A VENCER")))</f>
        <v>A VENCER</v>
      </c>
      <c r="N847" s="312">
        <f ca="1">IF(Tabela4[[#This Row],[STATUS]]="LIQUIDADO","",Tabela4[[#This Row],[VCTO]]-$I$5)</f>
        <v>23</v>
      </c>
      <c r="O847" s="306"/>
      <c r="P847" s="307"/>
      <c r="Q847" s="306"/>
      <c r="R847" s="306"/>
      <c r="S847" s="306"/>
      <c r="T847" s="306"/>
      <c r="U847" s="306"/>
      <c r="V847" s="5"/>
    </row>
    <row r="848" spans="1:22">
      <c r="A848" s="306" t="s">
        <v>0</v>
      </c>
      <c r="B848" s="307">
        <v>46086</v>
      </c>
      <c r="C848" s="11" t="s">
        <v>43</v>
      </c>
      <c r="D848" s="306">
        <v>462</v>
      </c>
      <c r="E848" s="35" t="s">
        <v>95</v>
      </c>
      <c r="F848" s="26" t="s">
        <v>582</v>
      </c>
      <c r="G848" s="308">
        <v>14638801000191</v>
      </c>
      <c r="H848" s="309">
        <v>3163.02</v>
      </c>
      <c r="I848" s="310">
        <v>46128</v>
      </c>
      <c r="J848" s="311" t="s">
        <v>91</v>
      </c>
      <c r="K848" s="306" t="s">
        <v>381</v>
      </c>
      <c r="L848" s="307">
        <v>46087</v>
      </c>
      <c r="M848" s="306" t="str">
        <f ca="1">IF(Tabela4[[#This Row],[RECOMPRADO]]="RECEBIDO","LIQUIDADO",IF(O848="LIQUIDADO","LIQUIDADO",IF(I848&lt;$I$5,"VENCIDO","A VENCER")))</f>
        <v>A VENCER</v>
      </c>
      <c r="N848" s="312">
        <f ca="1">IF(Tabela4[[#This Row],[STATUS]]="LIQUIDADO","",Tabela4[[#This Row],[VCTO]]-$I$5)</f>
        <v>30</v>
      </c>
      <c r="O848" s="306"/>
      <c r="P848" s="307"/>
      <c r="Q848" s="306"/>
      <c r="R848" s="306"/>
      <c r="S848" s="306"/>
      <c r="T848" s="306"/>
      <c r="U848" s="306"/>
      <c r="V848" s="5"/>
    </row>
    <row r="849" spans="1:22">
      <c r="A849" s="306" t="s">
        <v>0</v>
      </c>
      <c r="B849" s="307">
        <v>46086</v>
      </c>
      <c r="C849" s="11" t="s">
        <v>43</v>
      </c>
      <c r="D849" s="306">
        <v>462</v>
      </c>
      <c r="E849" s="35" t="s">
        <v>96</v>
      </c>
      <c r="F849" s="26" t="s">
        <v>582</v>
      </c>
      <c r="G849" s="308">
        <v>14638801000191</v>
      </c>
      <c r="H849" s="309">
        <v>3163.02</v>
      </c>
      <c r="I849" s="310">
        <v>46135</v>
      </c>
      <c r="J849" s="311" t="s">
        <v>91</v>
      </c>
      <c r="K849" s="306" t="s">
        <v>381</v>
      </c>
      <c r="L849" s="307">
        <v>46087</v>
      </c>
      <c r="M849" s="306" t="str">
        <f ca="1">IF(Tabela4[[#This Row],[RECOMPRADO]]="RECEBIDO","LIQUIDADO",IF(O849="LIQUIDADO","LIQUIDADO",IF(I849&lt;$I$5,"VENCIDO","A VENCER")))</f>
        <v>A VENCER</v>
      </c>
      <c r="N849" s="312">
        <f ca="1">IF(Tabela4[[#This Row],[STATUS]]="LIQUIDADO","",Tabela4[[#This Row],[VCTO]]-$I$5)</f>
        <v>37</v>
      </c>
      <c r="O849" s="306"/>
      <c r="P849" s="307"/>
      <c r="Q849" s="306"/>
      <c r="R849" s="306"/>
      <c r="S849" s="306"/>
      <c r="T849" s="306"/>
      <c r="U849" s="306"/>
      <c r="V849" s="5"/>
    </row>
    <row r="850" spans="1:22">
      <c r="A850" s="306" t="s">
        <v>0</v>
      </c>
      <c r="B850" s="307">
        <v>46086</v>
      </c>
      <c r="C850" s="11" t="s">
        <v>43</v>
      </c>
      <c r="D850" s="306">
        <v>462</v>
      </c>
      <c r="E850" s="35" t="s">
        <v>97</v>
      </c>
      <c r="F850" s="26" t="s">
        <v>582</v>
      </c>
      <c r="G850" s="308">
        <v>14638801000191</v>
      </c>
      <c r="H850" s="309">
        <v>3163.02</v>
      </c>
      <c r="I850" s="310">
        <v>46142</v>
      </c>
      <c r="J850" s="311" t="s">
        <v>91</v>
      </c>
      <c r="K850" s="306" t="s">
        <v>381</v>
      </c>
      <c r="L850" s="307">
        <v>46087</v>
      </c>
      <c r="M850" s="306" t="str">
        <f ca="1">IF(Tabela4[[#This Row],[RECOMPRADO]]="RECEBIDO","LIQUIDADO",IF(O850="LIQUIDADO","LIQUIDADO",IF(I850&lt;$I$5,"VENCIDO","A VENCER")))</f>
        <v>A VENCER</v>
      </c>
      <c r="N850" s="312">
        <f ca="1">IF(Tabela4[[#This Row],[STATUS]]="LIQUIDADO","",Tabela4[[#This Row],[VCTO]]-$I$5)</f>
        <v>44</v>
      </c>
      <c r="O850" s="306"/>
      <c r="P850" s="307"/>
      <c r="Q850" s="306"/>
      <c r="R850" s="306"/>
      <c r="S850" s="306"/>
      <c r="T850" s="306"/>
      <c r="U850" s="306"/>
      <c r="V850" s="5"/>
    </row>
    <row r="851" spans="1:22">
      <c r="A851" s="306" t="s">
        <v>0</v>
      </c>
      <c r="B851" s="307">
        <v>46086</v>
      </c>
      <c r="C851" s="11" t="s">
        <v>43</v>
      </c>
      <c r="D851" s="306">
        <v>462</v>
      </c>
      <c r="E851" s="35" t="s">
        <v>98</v>
      </c>
      <c r="F851" s="26" t="s">
        <v>582</v>
      </c>
      <c r="G851" s="308">
        <v>14638801000191</v>
      </c>
      <c r="H851" s="309">
        <v>3163.02</v>
      </c>
      <c r="I851" s="310">
        <v>46149</v>
      </c>
      <c r="J851" s="311" t="s">
        <v>91</v>
      </c>
      <c r="K851" s="306" t="s">
        <v>381</v>
      </c>
      <c r="L851" s="307">
        <v>46087</v>
      </c>
      <c r="M851" s="306" t="str">
        <f ca="1">IF(Tabela4[[#This Row],[RECOMPRADO]]="RECEBIDO","LIQUIDADO",IF(O851="LIQUIDADO","LIQUIDADO",IF(I851&lt;$I$5,"VENCIDO","A VENCER")))</f>
        <v>A VENCER</v>
      </c>
      <c r="N851" s="312">
        <f ca="1">IF(Tabela4[[#This Row],[STATUS]]="LIQUIDADO","",Tabela4[[#This Row],[VCTO]]-$I$5)</f>
        <v>51</v>
      </c>
      <c r="O851" s="306"/>
      <c r="P851" s="307"/>
      <c r="Q851" s="306"/>
      <c r="R851" s="306"/>
      <c r="S851" s="306"/>
      <c r="T851" s="306"/>
      <c r="U851" s="306"/>
      <c r="V851" s="5"/>
    </row>
    <row r="852" spans="1:22">
      <c r="A852" s="306" t="s">
        <v>0</v>
      </c>
      <c r="B852" s="307">
        <v>46086</v>
      </c>
      <c r="C852" s="11" t="s">
        <v>41</v>
      </c>
      <c r="D852" s="306">
        <v>463</v>
      </c>
      <c r="E852" s="35" t="s">
        <v>92</v>
      </c>
      <c r="F852" s="26" t="s">
        <v>583</v>
      </c>
      <c r="G852" s="308">
        <v>49454037000189</v>
      </c>
      <c r="H852" s="309">
        <v>1290.5</v>
      </c>
      <c r="I852" s="310">
        <v>46120</v>
      </c>
      <c r="J852" s="311" t="s">
        <v>91</v>
      </c>
      <c r="K852" s="306" t="s">
        <v>381</v>
      </c>
      <c r="L852" s="307">
        <v>46087</v>
      </c>
      <c r="M852" s="306" t="str">
        <f ca="1">IF(Tabela4[[#This Row],[RECOMPRADO]]="RECEBIDO","LIQUIDADO",IF(O852="LIQUIDADO","LIQUIDADO",IF(I852&lt;$I$5,"VENCIDO","A VENCER")))</f>
        <v>A VENCER</v>
      </c>
      <c r="N852" s="312">
        <f ca="1">IF(Tabela4[[#This Row],[STATUS]]="LIQUIDADO","",Tabela4[[#This Row],[VCTO]]-$I$5)</f>
        <v>22</v>
      </c>
      <c r="O852" s="306"/>
      <c r="P852" s="307"/>
      <c r="Q852" s="306"/>
      <c r="R852" s="306"/>
      <c r="S852" s="306"/>
      <c r="T852" s="306"/>
      <c r="U852" s="306"/>
      <c r="V852" s="5"/>
    </row>
    <row r="853" spans="1:22">
      <c r="A853" s="306" t="s">
        <v>0</v>
      </c>
      <c r="B853" s="307">
        <v>46086</v>
      </c>
      <c r="C853" s="11" t="s">
        <v>41</v>
      </c>
      <c r="D853" s="306">
        <v>463</v>
      </c>
      <c r="E853" s="35" t="s">
        <v>95</v>
      </c>
      <c r="F853" s="26" t="s">
        <v>583</v>
      </c>
      <c r="G853" s="308">
        <v>49454037000189</v>
      </c>
      <c r="H853" s="309">
        <v>1290.5</v>
      </c>
      <c r="I853" s="310">
        <v>46127</v>
      </c>
      <c r="J853" s="311" t="s">
        <v>91</v>
      </c>
      <c r="K853" s="306" t="s">
        <v>381</v>
      </c>
      <c r="L853" s="307">
        <v>46087</v>
      </c>
      <c r="M853" s="306" t="str">
        <f ca="1">IF(Tabela4[[#This Row],[RECOMPRADO]]="RECEBIDO","LIQUIDADO",IF(O853="LIQUIDADO","LIQUIDADO",IF(I853&lt;$I$5,"VENCIDO","A VENCER")))</f>
        <v>A VENCER</v>
      </c>
      <c r="N853" s="312">
        <f ca="1">IF(Tabela4[[#This Row],[STATUS]]="LIQUIDADO","",Tabela4[[#This Row],[VCTO]]-$I$5)</f>
        <v>29</v>
      </c>
      <c r="O853" s="306"/>
      <c r="P853" s="307"/>
      <c r="Q853" s="306"/>
      <c r="R853" s="306"/>
      <c r="S853" s="306"/>
      <c r="T853" s="306"/>
      <c r="U853" s="306"/>
      <c r="V853" s="5"/>
    </row>
    <row r="854" spans="1:22">
      <c r="A854" s="306" t="s">
        <v>0</v>
      </c>
      <c r="B854" s="307">
        <v>46086</v>
      </c>
      <c r="C854" s="11" t="s">
        <v>41</v>
      </c>
      <c r="D854" s="306">
        <v>463</v>
      </c>
      <c r="E854" s="35" t="s">
        <v>96</v>
      </c>
      <c r="F854" s="26" t="s">
        <v>583</v>
      </c>
      <c r="G854" s="308">
        <v>49454037000189</v>
      </c>
      <c r="H854" s="309">
        <v>1290.5</v>
      </c>
      <c r="I854" s="310">
        <v>46134</v>
      </c>
      <c r="J854" s="311" t="s">
        <v>91</v>
      </c>
      <c r="K854" s="306" t="s">
        <v>381</v>
      </c>
      <c r="L854" s="307">
        <v>46087</v>
      </c>
      <c r="M854" s="306" t="str">
        <f ca="1">IF(Tabela4[[#This Row],[RECOMPRADO]]="RECEBIDO","LIQUIDADO",IF(O854="LIQUIDADO","LIQUIDADO",IF(I854&lt;$I$5,"VENCIDO","A VENCER")))</f>
        <v>A VENCER</v>
      </c>
      <c r="N854" s="312">
        <f ca="1">IF(Tabela4[[#This Row],[STATUS]]="LIQUIDADO","",Tabela4[[#This Row],[VCTO]]-$I$5)</f>
        <v>36</v>
      </c>
      <c r="O854" s="306"/>
      <c r="P854" s="307"/>
      <c r="Q854" s="306"/>
      <c r="R854" s="306"/>
      <c r="S854" s="306"/>
      <c r="T854" s="306"/>
      <c r="U854" s="306"/>
      <c r="V854" s="5"/>
    </row>
    <row r="855" spans="1:22">
      <c r="A855" s="306" t="s">
        <v>0</v>
      </c>
      <c r="B855" s="307">
        <v>46086</v>
      </c>
      <c r="C855" s="11" t="s">
        <v>43</v>
      </c>
      <c r="D855" s="306">
        <v>463</v>
      </c>
      <c r="E855" s="35" t="s">
        <v>92</v>
      </c>
      <c r="F855" s="26" t="s">
        <v>583</v>
      </c>
      <c r="G855" s="308">
        <v>49454037000189</v>
      </c>
      <c r="H855" s="309">
        <v>1290.5</v>
      </c>
      <c r="I855" s="310">
        <v>46120</v>
      </c>
      <c r="J855" s="311" t="s">
        <v>91</v>
      </c>
      <c r="K855" s="306" t="s">
        <v>381</v>
      </c>
      <c r="L855" s="307">
        <v>46087</v>
      </c>
      <c r="M855" s="306" t="str">
        <f ca="1">IF(Tabela4[[#This Row],[RECOMPRADO]]="RECEBIDO","LIQUIDADO",IF(O855="LIQUIDADO","LIQUIDADO",IF(I855&lt;$I$5,"VENCIDO","A VENCER")))</f>
        <v>A VENCER</v>
      </c>
      <c r="N855" s="312">
        <f ca="1">IF(Tabela4[[#This Row],[STATUS]]="LIQUIDADO","",Tabela4[[#This Row],[VCTO]]-$I$5)</f>
        <v>22</v>
      </c>
      <c r="O855" s="306"/>
      <c r="P855" s="307"/>
      <c r="Q855" s="306"/>
      <c r="R855" s="306"/>
      <c r="S855" s="306"/>
      <c r="T855" s="306"/>
      <c r="U855" s="306"/>
      <c r="V855" s="5"/>
    </row>
    <row r="856" spans="1:22">
      <c r="A856" s="306" t="s">
        <v>0</v>
      </c>
      <c r="B856" s="307">
        <v>46086</v>
      </c>
      <c r="C856" s="11" t="s">
        <v>43</v>
      </c>
      <c r="D856" s="306">
        <v>463</v>
      </c>
      <c r="E856" s="35" t="s">
        <v>95</v>
      </c>
      <c r="F856" s="26" t="s">
        <v>583</v>
      </c>
      <c r="G856" s="308">
        <v>49454037000189</v>
      </c>
      <c r="H856" s="309">
        <v>1290.5</v>
      </c>
      <c r="I856" s="310">
        <v>46127</v>
      </c>
      <c r="J856" s="311" t="s">
        <v>91</v>
      </c>
      <c r="K856" s="306" t="s">
        <v>381</v>
      </c>
      <c r="L856" s="307">
        <v>46087</v>
      </c>
      <c r="M856" s="306" t="str">
        <f ca="1">IF(Tabela4[[#This Row],[RECOMPRADO]]="RECEBIDO","LIQUIDADO",IF(O856="LIQUIDADO","LIQUIDADO",IF(I856&lt;$I$5,"VENCIDO","A VENCER")))</f>
        <v>A VENCER</v>
      </c>
      <c r="N856" s="312">
        <f ca="1">IF(Tabela4[[#This Row],[STATUS]]="LIQUIDADO","",Tabela4[[#This Row],[VCTO]]-$I$5)</f>
        <v>29</v>
      </c>
      <c r="O856" s="306"/>
      <c r="P856" s="307"/>
      <c r="Q856" s="306"/>
      <c r="R856" s="306"/>
      <c r="S856" s="306"/>
      <c r="T856" s="306"/>
      <c r="U856" s="306"/>
      <c r="V856" s="5"/>
    </row>
    <row r="857" spans="1:22">
      <c r="A857" s="306" t="s">
        <v>0</v>
      </c>
      <c r="B857" s="307">
        <v>46086</v>
      </c>
      <c r="C857" s="11" t="s">
        <v>43</v>
      </c>
      <c r="D857" s="306">
        <v>463</v>
      </c>
      <c r="E857" s="35" t="s">
        <v>96</v>
      </c>
      <c r="F857" s="26" t="s">
        <v>583</v>
      </c>
      <c r="G857" s="308">
        <v>49454037000189</v>
      </c>
      <c r="H857" s="309">
        <v>1290.5</v>
      </c>
      <c r="I857" s="310">
        <v>46134</v>
      </c>
      <c r="J857" s="311" t="s">
        <v>91</v>
      </c>
      <c r="K857" s="306" t="s">
        <v>381</v>
      </c>
      <c r="L857" s="307">
        <v>46087</v>
      </c>
      <c r="M857" s="306" t="str">
        <f ca="1">IF(Tabela4[[#This Row],[RECOMPRADO]]="RECEBIDO","LIQUIDADO",IF(O857="LIQUIDADO","LIQUIDADO",IF(I857&lt;$I$5,"VENCIDO","A VENCER")))</f>
        <v>A VENCER</v>
      </c>
      <c r="N857" s="312">
        <f ca="1">IF(Tabela4[[#This Row],[STATUS]]="LIQUIDADO","",Tabela4[[#This Row],[VCTO]]-$I$5)</f>
        <v>36</v>
      </c>
      <c r="O857" s="306"/>
      <c r="P857" s="307"/>
      <c r="Q857" s="306"/>
      <c r="R857" s="306"/>
      <c r="S857" s="306"/>
      <c r="T857" s="306"/>
      <c r="U857" s="306"/>
      <c r="V857" s="5"/>
    </row>
    <row r="858" spans="1:22">
      <c r="A858" s="306" t="s">
        <v>0</v>
      </c>
      <c r="B858" s="307">
        <v>46086</v>
      </c>
      <c r="C858" s="11" t="s">
        <v>41</v>
      </c>
      <c r="D858" s="306">
        <v>464</v>
      </c>
      <c r="E858" s="35" t="s">
        <v>92</v>
      </c>
      <c r="F858" s="26" t="s">
        <v>267</v>
      </c>
      <c r="G858" s="308">
        <v>20891953000102</v>
      </c>
      <c r="H858" s="309">
        <v>3593.5</v>
      </c>
      <c r="I858" s="310">
        <v>46137</v>
      </c>
      <c r="J858" s="311" t="s">
        <v>91</v>
      </c>
      <c r="K858" s="306" t="s">
        <v>381</v>
      </c>
      <c r="L858" s="307">
        <v>46087</v>
      </c>
      <c r="M858" s="306" t="str">
        <f ca="1">IF(Tabela4[[#This Row],[RECOMPRADO]]="RECEBIDO","LIQUIDADO",IF(O858="LIQUIDADO","LIQUIDADO",IF(I858&lt;$I$5,"VENCIDO","A VENCER")))</f>
        <v>A VENCER</v>
      </c>
      <c r="N858" s="312">
        <f ca="1">IF(Tabela4[[#This Row],[STATUS]]="LIQUIDADO","",Tabela4[[#This Row],[VCTO]]-$I$5)</f>
        <v>39</v>
      </c>
      <c r="O858" s="306"/>
      <c r="P858" s="307"/>
      <c r="Q858" s="306"/>
      <c r="R858" s="306"/>
      <c r="S858" s="306"/>
      <c r="T858" s="306"/>
      <c r="U858" s="306"/>
      <c r="V858" s="5"/>
    </row>
    <row r="859" spans="1:22">
      <c r="A859" s="306" t="s">
        <v>0</v>
      </c>
      <c r="B859" s="307">
        <v>46086</v>
      </c>
      <c r="C859" s="307" t="s">
        <v>43</v>
      </c>
      <c r="D859" s="306">
        <v>464</v>
      </c>
      <c r="E859" s="35" t="s">
        <v>92</v>
      </c>
      <c r="F859" s="26" t="s">
        <v>267</v>
      </c>
      <c r="G859" s="308">
        <v>20891953000102</v>
      </c>
      <c r="H859" s="309">
        <v>3593.5</v>
      </c>
      <c r="I859" s="310">
        <v>46137</v>
      </c>
      <c r="J859" s="311" t="s">
        <v>91</v>
      </c>
      <c r="K859" s="306" t="s">
        <v>381</v>
      </c>
      <c r="L859" s="307">
        <v>46087</v>
      </c>
      <c r="M859" s="306" t="str">
        <f ca="1">IF(Tabela4[[#This Row],[RECOMPRADO]]="RECEBIDO","LIQUIDADO",IF(O859="LIQUIDADO","LIQUIDADO",IF(I859&lt;$I$5,"VENCIDO","A VENCER")))</f>
        <v>A VENCER</v>
      </c>
      <c r="N859" s="312">
        <f ca="1">IF(Tabela4[[#This Row],[STATUS]]="LIQUIDADO","",Tabela4[[#This Row],[VCTO]]-$I$5)</f>
        <v>39</v>
      </c>
      <c r="O859" s="306"/>
      <c r="P859" s="307"/>
      <c r="Q859" s="306"/>
      <c r="R859" s="306"/>
      <c r="S859" s="306"/>
      <c r="T859" s="306"/>
      <c r="U859" s="306"/>
      <c r="V859" s="5"/>
    </row>
    <row r="860" spans="1:22">
      <c r="A860" s="306" t="s">
        <v>0</v>
      </c>
      <c r="B860" s="307">
        <v>46086</v>
      </c>
      <c r="C860" s="11" t="s">
        <v>41</v>
      </c>
      <c r="D860" s="306">
        <v>456</v>
      </c>
      <c r="E860" s="35" t="s">
        <v>92</v>
      </c>
      <c r="F860" s="26" t="s">
        <v>112</v>
      </c>
      <c r="G860" s="308">
        <v>22991072000180</v>
      </c>
      <c r="H860" s="309">
        <v>803.09</v>
      </c>
      <c r="I860" s="310">
        <v>46111</v>
      </c>
      <c r="J860" s="311" t="s">
        <v>91</v>
      </c>
      <c r="K860" s="306" t="s">
        <v>381</v>
      </c>
      <c r="L860" s="307">
        <v>46087</v>
      </c>
      <c r="M860" s="306" t="str">
        <f ca="1">IF(Tabela4[[#This Row],[RECOMPRADO]]="RECEBIDO","LIQUIDADO",IF(O860="LIQUIDADO","LIQUIDADO",IF(I860&lt;$I$5,"VENCIDO","A VENCER")))</f>
        <v>A VENCER</v>
      </c>
      <c r="N860" s="312">
        <f ca="1">IF(Tabela4[[#This Row],[STATUS]]="LIQUIDADO","",Tabela4[[#This Row],[VCTO]]-$I$5)</f>
        <v>13</v>
      </c>
      <c r="O860" s="306"/>
      <c r="P860" s="307"/>
      <c r="Q860" s="306"/>
      <c r="R860" s="306"/>
      <c r="S860" s="306"/>
      <c r="T860" s="306"/>
      <c r="U860" s="306"/>
      <c r="V860" s="5"/>
    </row>
    <row r="861" spans="1:22">
      <c r="A861" s="306" t="s">
        <v>0</v>
      </c>
      <c r="B861" s="307">
        <v>46086</v>
      </c>
      <c r="C861" s="11" t="s">
        <v>41</v>
      </c>
      <c r="D861" s="306">
        <v>456</v>
      </c>
      <c r="E861" s="35" t="s">
        <v>95</v>
      </c>
      <c r="F861" s="26" t="s">
        <v>112</v>
      </c>
      <c r="G861" s="308">
        <v>22991072000180</v>
      </c>
      <c r="H861" s="309">
        <v>803.09</v>
      </c>
      <c r="I861" s="310">
        <v>46118</v>
      </c>
      <c r="J861" s="311" t="s">
        <v>91</v>
      </c>
      <c r="K861" s="306" t="s">
        <v>381</v>
      </c>
      <c r="L861" s="307">
        <v>46087</v>
      </c>
      <c r="M861" s="306" t="str">
        <f ca="1">IF(Tabela4[[#This Row],[RECOMPRADO]]="RECEBIDO","LIQUIDADO",IF(O861="LIQUIDADO","LIQUIDADO",IF(I861&lt;$I$5,"VENCIDO","A VENCER")))</f>
        <v>A VENCER</v>
      </c>
      <c r="N861" s="312">
        <f ca="1">IF(Tabela4[[#This Row],[STATUS]]="LIQUIDADO","",Tabela4[[#This Row],[VCTO]]-$I$5)</f>
        <v>20</v>
      </c>
      <c r="O861" s="306"/>
      <c r="P861" s="307"/>
      <c r="Q861" s="306"/>
      <c r="R861" s="306"/>
      <c r="S861" s="306"/>
      <c r="T861" s="306"/>
      <c r="U861" s="306"/>
      <c r="V861" s="5"/>
    </row>
    <row r="862" spans="1:22">
      <c r="A862" s="306" t="s">
        <v>0</v>
      </c>
      <c r="B862" s="307">
        <v>46086</v>
      </c>
      <c r="C862" s="11" t="s">
        <v>41</v>
      </c>
      <c r="D862" s="306">
        <v>456</v>
      </c>
      <c r="E862" s="35" t="s">
        <v>96</v>
      </c>
      <c r="F862" s="26" t="s">
        <v>112</v>
      </c>
      <c r="G862" s="308">
        <v>22991072000180</v>
      </c>
      <c r="H862" s="309">
        <v>803.09</v>
      </c>
      <c r="I862" s="310">
        <v>46125</v>
      </c>
      <c r="J862" s="311" t="s">
        <v>91</v>
      </c>
      <c r="K862" s="306" t="s">
        <v>381</v>
      </c>
      <c r="L862" s="307">
        <v>46087</v>
      </c>
      <c r="M862" s="306" t="str">
        <f ca="1">IF(Tabela4[[#This Row],[RECOMPRADO]]="RECEBIDO","LIQUIDADO",IF(O862="LIQUIDADO","LIQUIDADO",IF(I862&lt;$I$5,"VENCIDO","A VENCER")))</f>
        <v>A VENCER</v>
      </c>
      <c r="N862" s="312">
        <f ca="1">IF(Tabela4[[#This Row],[STATUS]]="LIQUIDADO","",Tabela4[[#This Row],[VCTO]]-$I$5)</f>
        <v>27</v>
      </c>
      <c r="O862" s="306"/>
      <c r="P862" s="307"/>
      <c r="Q862" s="306"/>
      <c r="R862" s="306"/>
      <c r="S862" s="306"/>
      <c r="T862" s="306"/>
      <c r="U862" s="306"/>
      <c r="V862" s="5"/>
    </row>
    <row r="863" spans="1:22">
      <c r="A863" s="306" t="s">
        <v>0</v>
      </c>
      <c r="B863" s="307">
        <v>46086</v>
      </c>
      <c r="C863" s="11" t="s">
        <v>43</v>
      </c>
      <c r="D863" s="306">
        <v>456</v>
      </c>
      <c r="E863" s="35" t="s">
        <v>92</v>
      </c>
      <c r="F863" s="26" t="s">
        <v>112</v>
      </c>
      <c r="G863" s="308">
        <v>22991072000180</v>
      </c>
      <c r="H863" s="309">
        <v>748.33</v>
      </c>
      <c r="I863" s="310">
        <v>46111</v>
      </c>
      <c r="J863" s="311" t="s">
        <v>91</v>
      </c>
      <c r="K863" s="306" t="s">
        <v>381</v>
      </c>
      <c r="L863" s="307">
        <v>46087</v>
      </c>
      <c r="M863" s="306" t="str">
        <f ca="1">IF(Tabela4[[#This Row],[RECOMPRADO]]="RECEBIDO","LIQUIDADO",IF(O863="LIQUIDADO","LIQUIDADO",IF(I863&lt;$I$5,"VENCIDO","A VENCER")))</f>
        <v>A VENCER</v>
      </c>
      <c r="N863" s="312">
        <f ca="1">IF(Tabela4[[#This Row],[STATUS]]="LIQUIDADO","",Tabela4[[#This Row],[VCTO]]-$I$5)</f>
        <v>13</v>
      </c>
      <c r="O863" s="306"/>
      <c r="P863" s="307"/>
      <c r="Q863" s="306"/>
      <c r="R863" s="306"/>
      <c r="S863" s="306"/>
      <c r="T863" s="306"/>
      <c r="U863" s="306"/>
      <c r="V863" s="5"/>
    </row>
    <row r="864" spans="1:22">
      <c r="A864" s="306" t="s">
        <v>0</v>
      </c>
      <c r="B864" s="307">
        <v>46086</v>
      </c>
      <c r="C864" s="11" t="s">
        <v>43</v>
      </c>
      <c r="D864" s="306">
        <v>456</v>
      </c>
      <c r="E864" s="35" t="s">
        <v>95</v>
      </c>
      <c r="F864" s="26" t="s">
        <v>112</v>
      </c>
      <c r="G864" s="308">
        <v>22991072000180</v>
      </c>
      <c r="H864" s="309">
        <v>748.33</v>
      </c>
      <c r="I864" s="310">
        <v>46118</v>
      </c>
      <c r="J864" s="311" t="s">
        <v>91</v>
      </c>
      <c r="K864" s="306" t="s">
        <v>381</v>
      </c>
      <c r="L864" s="307">
        <v>46087</v>
      </c>
      <c r="M864" s="306" t="str">
        <f ca="1">IF(Tabela4[[#This Row],[RECOMPRADO]]="RECEBIDO","LIQUIDADO",IF(O864="LIQUIDADO","LIQUIDADO",IF(I864&lt;$I$5,"VENCIDO","A VENCER")))</f>
        <v>A VENCER</v>
      </c>
      <c r="N864" s="312">
        <f ca="1">IF(Tabela4[[#This Row],[STATUS]]="LIQUIDADO","",Tabela4[[#This Row],[VCTO]]-$I$5)</f>
        <v>20</v>
      </c>
      <c r="O864" s="306"/>
      <c r="P864" s="307"/>
      <c r="Q864" s="306"/>
      <c r="R864" s="306"/>
      <c r="S864" s="306"/>
      <c r="T864" s="306"/>
      <c r="U864" s="306"/>
      <c r="V864" s="5"/>
    </row>
    <row r="865" spans="1:22">
      <c r="A865" s="306" t="s">
        <v>0</v>
      </c>
      <c r="B865" s="307">
        <v>46086</v>
      </c>
      <c r="C865" s="11" t="s">
        <v>43</v>
      </c>
      <c r="D865" s="306">
        <v>456</v>
      </c>
      <c r="E865" s="35" t="s">
        <v>96</v>
      </c>
      <c r="F865" s="26" t="s">
        <v>112</v>
      </c>
      <c r="G865" s="308">
        <v>22991072000180</v>
      </c>
      <c r="H865" s="309">
        <v>748.33</v>
      </c>
      <c r="I865" s="310">
        <v>46125</v>
      </c>
      <c r="J865" s="311" t="s">
        <v>91</v>
      </c>
      <c r="K865" s="306" t="s">
        <v>381</v>
      </c>
      <c r="L865" s="307">
        <v>46087</v>
      </c>
      <c r="M865" s="306" t="str">
        <f ca="1">IF(Tabela4[[#This Row],[RECOMPRADO]]="RECEBIDO","LIQUIDADO",IF(O865="LIQUIDADO","LIQUIDADO",IF(I865&lt;$I$5,"VENCIDO","A VENCER")))</f>
        <v>A VENCER</v>
      </c>
      <c r="N865" s="312">
        <f ca="1">IF(Tabela4[[#This Row],[STATUS]]="LIQUIDADO","",Tabela4[[#This Row],[VCTO]]-$I$5)</f>
        <v>27</v>
      </c>
      <c r="O865" s="306"/>
      <c r="P865" s="307"/>
      <c r="Q865" s="306"/>
      <c r="R865" s="306"/>
      <c r="S865" s="306"/>
      <c r="T865" s="306"/>
      <c r="U865" s="306"/>
      <c r="V865" s="5"/>
    </row>
    <row r="866" spans="1:22">
      <c r="A866" s="306" t="s">
        <v>0</v>
      </c>
      <c r="B866" s="307">
        <v>46086</v>
      </c>
      <c r="C866" s="11" t="s">
        <v>41</v>
      </c>
      <c r="D866" s="306">
        <v>465</v>
      </c>
      <c r="E866" s="35" t="s">
        <v>92</v>
      </c>
      <c r="F866" s="26" t="s">
        <v>5</v>
      </c>
      <c r="G866" s="308">
        <v>7145932000171</v>
      </c>
      <c r="H866" s="309">
        <v>1054.33</v>
      </c>
      <c r="I866" s="310">
        <v>46120</v>
      </c>
      <c r="J866" s="311" t="s">
        <v>91</v>
      </c>
      <c r="K866" s="306" t="s">
        <v>381</v>
      </c>
      <c r="L866" s="307">
        <v>46087</v>
      </c>
      <c r="M866" s="306" t="str">
        <f ca="1">IF(Tabela4[[#This Row],[RECOMPRADO]]="RECEBIDO","LIQUIDADO",IF(O866="LIQUIDADO","LIQUIDADO",IF(I866&lt;$I$5,"VENCIDO","A VENCER")))</f>
        <v>A VENCER</v>
      </c>
      <c r="N866" s="312">
        <f ca="1">IF(Tabela4[[#This Row],[STATUS]]="LIQUIDADO","",Tabela4[[#This Row],[VCTO]]-$I$5)</f>
        <v>22</v>
      </c>
      <c r="O866" s="306"/>
      <c r="P866" s="307"/>
      <c r="Q866" s="306"/>
      <c r="R866" s="306"/>
      <c r="S866" s="306"/>
      <c r="T866" s="306"/>
      <c r="U866" s="306"/>
      <c r="V866" s="5"/>
    </row>
    <row r="867" spans="1:22">
      <c r="A867" s="306" t="s">
        <v>0</v>
      </c>
      <c r="B867" s="307">
        <v>46086</v>
      </c>
      <c r="C867" s="11" t="s">
        <v>41</v>
      </c>
      <c r="D867" s="306">
        <v>465</v>
      </c>
      <c r="E867" s="35" t="s">
        <v>95</v>
      </c>
      <c r="F867" s="26" t="s">
        <v>5</v>
      </c>
      <c r="G867" s="308">
        <v>7145932000171</v>
      </c>
      <c r="H867" s="309">
        <v>1054.33</v>
      </c>
      <c r="I867" s="310">
        <v>46127</v>
      </c>
      <c r="J867" s="311" t="s">
        <v>91</v>
      </c>
      <c r="K867" s="306" t="s">
        <v>381</v>
      </c>
      <c r="L867" s="307">
        <v>46087</v>
      </c>
      <c r="M867" s="306" t="str">
        <f ca="1">IF(Tabela4[[#This Row],[RECOMPRADO]]="RECEBIDO","LIQUIDADO",IF(O867="LIQUIDADO","LIQUIDADO",IF(I867&lt;$I$5,"VENCIDO","A VENCER")))</f>
        <v>A VENCER</v>
      </c>
      <c r="N867" s="312">
        <f ca="1">IF(Tabela4[[#This Row],[STATUS]]="LIQUIDADO","",Tabela4[[#This Row],[VCTO]]-$I$5)</f>
        <v>29</v>
      </c>
      <c r="O867" s="306"/>
      <c r="P867" s="307"/>
      <c r="Q867" s="306"/>
      <c r="R867" s="306"/>
      <c r="S867" s="306"/>
      <c r="T867" s="306"/>
      <c r="U867" s="306"/>
      <c r="V867" s="5"/>
    </row>
    <row r="868" spans="1:22">
      <c r="A868" s="306" t="s">
        <v>0</v>
      </c>
      <c r="B868" s="307">
        <v>46086</v>
      </c>
      <c r="C868" s="11" t="s">
        <v>41</v>
      </c>
      <c r="D868" s="306">
        <v>465</v>
      </c>
      <c r="E868" s="35" t="s">
        <v>96</v>
      </c>
      <c r="F868" s="26" t="s">
        <v>5</v>
      </c>
      <c r="G868" s="308">
        <v>7145932000171</v>
      </c>
      <c r="H868" s="309">
        <v>1054.33</v>
      </c>
      <c r="I868" s="310">
        <v>46134</v>
      </c>
      <c r="J868" s="311" t="s">
        <v>91</v>
      </c>
      <c r="K868" s="306" t="s">
        <v>381</v>
      </c>
      <c r="L868" s="307">
        <v>46087</v>
      </c>
      <c r="M868" s="306" t="str">
        <f ca="1">IF(Tabela4[[#This Row],[RECOMPRADO]]="RECEBIDO","LIQUIDADO",IF(O868="LIQUIDADO","LIQUIDADO",IF(I868&lt;$I$5,"VENCIDO","A VENCER")))</f>
        <v>A VENCER</v>
      </c>
      <c r="N868" s="312">
        <f ca="1">IF(Tabela4[[#This Row],[STATUS]]="LIQUIDADO","",Tabela4[[#This Row],[VCTO]]-$I$5)</f>
        <v>36</v>
      </c>
      <c r="O868" s="306"/>
      <c r="P868" s="307"/>
      <c r="Q868" s="306"/>
      <c r="R868" s="306"/>
      <c r="S868" s="306"/>
      <c r="T868" s="306"/>
      <c r="U868" s="306"/>
      <c r="V868" s="5"/>
    </row>
    <row r="869" spans="1:22">
      <c r="A869" s="306" t="s">
        <v>0</v>
      </c>
      <c r="B869" s="307">
        <v>46086</v>
      </c>
      <c r="C869" s="11" t="s">
        <v>43</v>
      </c>
      <c r="D869" s="306">
        <v>465</v>
      </c>
      <c r="E869" s="35" t="s">
        <v>92</v>
      </c>
      <c r="F869" s="26" t="s">
        <v>5</v>
      </c>
      <c r="G869" s="308">
        <v>7145932000171</v>
      </c>
      <c r="H869" s="309">
        <v>1054.33</v>
      </c>
      <c r="I869" s="310">
        <v>46120</v>
      </c>
      <c r="J869" s="311" t="s">
        <v>91</v>
      </c>
      <c r="K869" s="306" t="s">
        <v>381</v>
      </c>
      <c r="L869" s="307">
        <v>46087</v>
      </c>
      <c r="M869" s="306" t="str">
        <f ca="1">IF(Tabela4[[#This Row],[RECOMPRADO]]="RECEBIDO","LIQUIDADO",IF(O869="LIQUIDADO","LIQUIDADO",IF(I869&lt;$I$5,"VENCIDO","A VENCER")))</f>
        <v>A VENCER</v>
      </c>
      <c r="N869" s="312">
        <f ca="1">IF(Tabela4[[#This Row],[STATUS]]="LIQUIDADO","",Tabela4[[#This Row],[VCTO]]-$I$5)</f>
        <v>22</v>
      </c>
      <c r="O869" s="306"/>
      <c r="P869" s="307"/>
      <c r="Q869" s="306"/>
      <c r="R869" s="306"/>
      <c r="S869" s="306"/>
      <c r="T869" s="306"/>
      <c r="U869" s="306"/>
      <c r="V869" s="5"/>
    </row>
    <row r="870" spans="1:22">
      <c r="A870" s="306" t="s">
        <v>0</v>
      </c>
      <c r="B870" s="307">
        <v>46086</v>
      </c>
      <c r="C870" s="11" t="s">
        <v>43</v>
      </c>
      <c r="D870" s="306">
        <v>465</v>
      </c>
      <c r="E870" s="35" t="s">
        <v>95</v>
      </c>
      <c r="F870" s="26" t="s">
        <v>5</v>
      </c>
      <c r="G870" s="308">
        <v>7145932000171</v>
      </c>
      <c r="H870" s="309">
        <v>1054.33</v>
      </c>
      <c r="I870" s="310">
        <v>46127</v>
      </c>
      <c r="J870" s="311" t="s">
        <v>91</v>
      </c>
      <c r="K870" s="306" t="s">
        <v>381</v>
      </c>
      <c r="L870" s="307">
        <v>46087</v>
      </c>
      <c r="M870" s="306" t="str">
        <f ca="1">IF(Tabela4[[#This Row],[RECOMPRADO]]="RECEBIDO","LIQUIDADO",IF(O870="LIQUIDADO","LIQUIDADO",IF(I870&lt;$I$5,"VENCIDO","A VENCER")))</f>
        <v>A VENCER</v>
      </c>
      <c r="N870" s="312">
        <f ca="1">IF(Tabela4[[#This Row],[STATUS]]="LIQUIDADO","",Tabela4[[#This Row],[VCTO]]-$I$5)</f>
        <v>29</v>
      </c>
      <c r="O870" s="306"/>
      <c r="P870" s="307"/>
      <c r="Q870" s="306"/>
      <c r="R870" s="306"/>
      <c r="S870" s="306"/>
      <c r="T870" s="306"/>
      <c r="U870" s="306"/>
      <c r="V870" s="5"/>
    </row>
    <row r="871" spans="1:22">
      <c r="A871" s="306" t="s">
        <v>0</v>
      </c>
      <c r="B871" s="307">
        <v>46086</v>
      </c>
      <c r="C871" s="11" t="s">
        <v>43</v>
      </c>
      <c r="D871" s="306">
        <v>465</v>
      </c>
      <c r="E871" s="35" t="s">
        <v>96</v>
      </c>
      <c r="F871" s="26" t="s">
        <v>5</v>
      </c>
      <c r="G871" s="308">
        <v>7145932000171</v>
      </c>
      <c r="H871" s="309">
        <v>1054.33</v>
      </c>
      <c r="I871" s="310">
        <v>46134</v>
      </c>
      <c r="J871" s="311" t="s">
        <v>91</v>
      </c>
      <c r="K871" s="306" t="s">
        <v>381</v>
      </c>
      <c r="L871" s="307">
        <v>46087</v>
      </c>
      <c r="M871" s="306" t="str">
        <f ca="1">IF(Tabela4[[#This Row],[RECOMPRADO]]="RECEBIDO","LIQUIDADO",IF(O871="LIQUIDADO","LIQUIDADO",IF(I871&lt;$I$5,"VENCIDO","A VENCER")))</f>
        <v>A VENCER</v>
      </c>
      <c r="N871" s="312">
        <f ca="1">IF(Tabela4[[#This Row],[STATUS]]="LIQUIDADO","",Tabela4[[#This Row],[VCTO]]-$I$5)</f>
        <v>36</v>
      </c>
      <c r="O871" s="306"/>
      <c r="P871" s="307"/>
      <c r="Q871" s="306"/>
      <c r="R871" s="306"/>
      <c r="S871" s="306"/>
      <c r="T871" s="306"/>
      <c r="U871" s="306"/>
      <c r="V871" s="5"/>
    </row>
    <row r="872" spans="1:22">
      <c r="A872" s="306" t="s">
        <v>0</v>
      </c>
      <c r="B872" s="307">
        <v>46087</v>
      </c>
      <c r="C872" s="11" t="s">
        <v>41</v>
      </c>
      <c r="D872" s="306">
        <v>453</v>
      </c>
      <c r="E872" s="35" t="s">
        <v>92</v>
      </c>
      <c r="F872" s="26" t="s">
        <v>280</v>
      </c>
      <c r="G872" s="308">
        <v>7205093000130</v>
      </c>
      <c r="H872" s="309">
        <v>12553.33</v>
      </c>
      <c r="I872" s="310">
        <v>46108</v>
      </c>
      <c r="J872" s="311" t="s">
        <v>91</v>
      </c>
      <c r="K872" s="306" t="s">
        <v>381</v>
      </c>
      <c r="L872" s="307">
        <v>46087</v>
      </c>
      <c r="M872" s="306" t="str">
        <f ca="1">IF(Tabela4[[#This Row],[RECOMPRADO]]="RECEBIDO","LIQUIDADO",IF(O872="LIQUIDADO","LIQUIDADO",IF(I872&lt;$I$5,"VENCIDO","A VENCER")))</f>
        <v>A VENCER</v>
      </c>
      <c r="N872" s="312">
        <f ca="1">IF(Tabela4[[#This Row],[STATUS]]="LIQUIDADO","",Tabela4[[#This Row],[VCTO]]-$I$5)</f>
        <v>10</v>
      </c>
      <c r="O872" s="306"/>
      <c r="P872" s="307"/>
      <c r="Q872" s="306"/>
      <c r="R872" s="306"/>
      <c r="S872" s="306"/>
      <c r="T872" s="26" t="s">
        <v>621</v>
      </c>
      <c r="U872" s="26"/>
      <c r="V872" s="5"/>
    </row>
    <row r="873" spans="1:22">
      <c r="A873" s="306" t="s">
        <v>0</v>
      </c>
      <c r="B873" s="307">
        <v>46087</v>
      </c>
      <c r="C873" s="11" t="s">
        <v>41</v>
      </c>
      <c r="D873" s="306">
        <v>453</v>
      </c>
      <c r="E873" s="35" t="s">
        <v>95</v>
      </c>
      <c r="F873" s="26" t="s">
        <v>280</v>
      </c>
      <c r="G873" s="308">
        <v>7205093000130</v>
      </c>
      <c r="H873" s="309">
        <v>12553.33</v>
      </c>
      <c r="I873" s="310">
        <v>46138</v>
      </c>
      <c r="J873" s="311" t="s">
        <v>91</v>
      </c>
      <c r="K873" s="306" t="s">
        <v>381</v>
      </c>
      <c r="L873" s="307">
        <v>46087</v>
      </c>
      <c r="M873" s="306" t="str">
        <f ca="1">IF(Tabela4[[#This Row],[RECOMPRADO]]="RECEBIDO","LIQUIDADO",IF(O873="LIQUIDADO","LIQUIDADO",IF(I873&lt;$I$5,"VENCIDO","A VENCER")))</f>
        <v>A VENCER</v>
      </c>
      <c r="N873" s="312">
        <f ca="1">IF(Tabela4[[#This Row],[STATUS]]="LIQUIDADO","",Tabela4[[#This Row],[VCTO]]-$I$5)</f>
        <v>40</v>
      </c>
      <c r="O873" s="306"/>
      <c r="P873" s="307"/>
      <c r="Q873" s="306"/>
      <c r="R873" s="306"/>
      <c r="S873" s="306"/>
      <c r="T873" s="26" t="s">
        <v>621</v>
      </c>
      <c r="U873" s="26"/>
      <c r="V873" s="5"/>
    </row>
    <row r="874" spans="1:22">
      <c r="A874" s="306" t="s">
        <v>0</v>
      </c>
      <c r="B874" s="307">
        <v>46087</v>
      </c>
      <c r="C874" s="11" t="s">
        <v>41</v>
      </c>
      <c r="D874" s="306">
        <v>453</v>
      </c>
      <c r="E874" s="35" t="s">
        <v>96</v>
      </c>
      <c r="F874" s="26" t="s">
        <v>280</v>
      </c>
      <c r="G874" s="308">
        <v>7205093000130</v>
      </c>
      <c r="H874" s="309">
        <v>12553.33</v>
      </c>
      <c r="I874" s="310">
        <v>46168</v>
      </c>
      <c r="J874" s="311" t="s">
        <v>91</v>
      </c>
      <c r="K874" s="306" t="s">
        <v>381</v>
      </c>
      <c r="L874" s="307">
        <v>46087</v>
      </c>
      <c r="M874" s="306" t="str">
        <f ca="1">IF(Tabela4[[#This Row],[RECOMPRADO]]="RECEBIDO","LIQUIDADO",IF(O874="LIQUIDADO","LIQUIDADO",IF(I874&lt;$I$5,"VENCIDO","A VENCER")))</f>
        <v>A VENCER</v>
      </c>
      <c r="N874" s="312">
        <f ca="1">IF(Tabela4[[#This Row],[STATUS]]="LIQUIDADO","",Tabela4[[#This Row],[VCTO]]-$I$5)</f>
        <v>70</v>
      </c>
      <c r="O874" s="306"/>
      <c r="P874" s="307"/>
      <c r="Q874" s="306"/>
      <c r="R874" s="306"/>
      <c r="S874" s="306"/>
      <c r="T874" s="26" t="s">
        <v>621</v>
      </c>
      <c r="U874" s="26"/>
      <c r="V874" s="5"/>
    </row>
    <row r="875" spans="1:22">
      <c r="A875" s="306" t="s">
        <v>0</v>
      </c>
      <c r="B875" s="307">
        <v>46087</v>
      </c>
      <c r="C875" s="11" t="s">
        <v>41</v>
      </c>
      <c r="D875" s="306">
        <v>458</v>
      </c>
      <c r="E875" s="35" t="s">
        <v>92</v>
      </c>
      <c r="F875" s="26" t="s">
        <v>589</v>
      </c>
      <c r="G875" s="308">
        <v>1134726000180</v>
      </c>
      <c r="H875" s="309">
        <v>11025.72</v>
      </c>
      <c r="I875" s="310">
        <v>46119</v>
      </c>
      <c r="J875" s="311" t="s">
        <v>91</v>
      </c>
      <c r="K875" s="306" t="s">
        <v>72</v>
      </c>
      <c r="L875" s="307">
        <v>46090</v>
      </c>
      <c r="M875" s="306" t="str">
        <f ca="1">IF(Tabela4[[#This Row],[RECOMPRADO]]="RECEBIDO","LIQUIDADO",IF(O875="LIQUIDADO","LIQUIDADO",IF(I875&lt;$I$5,"VENCIDO","A VENCER")))</f>
        <v>A VENCER</v>
      </c>
      <c r="N875" s="312">
        <f ca="1">IF(Tabela4[[#This Row],[STATUS]]="LIQUIDADO","",Tabela4[[#This Row],[VCTO]]-$I$5)</f>
        <v>21</v>
      </c>
      <c r="O875" s="306"/>
      <c r="P875" s="307"/>
      <c r="Q875" s="306"/>
      <c r="R875" s="306"/>
      <c r="S875" s="306"/>
      <c r="T875" s="26" t="s">
        <v>388</v>
      </c>
      <c r="U875" s="26"/>
      <c r="V875" s="5" t="s">
        <v>635</v>
      </c>
    </row>
    <row r="876" spans="1:22">
      <c r="A876" s="306" t="s">
        <v>0</v>
      </c>
      <c r="B876" s="307">
        <v>46087</v>
      </c>
      <c r="C876" s="11" t="s">
        <v>41</v>
      </c>
      <c r="D876" s="306">
        <v>458</v>
      </c>
      <c r="E876" s="35" t="s">
        <v>95</v>
      </c>
      <c r="F876" s="26" t="s">
        <v>589</v>
      </c>
      <c r="G876" s="308">
        <v>1134726000180</v>
      </c>
      <c r="H876" s="309">
        <v>6642</v>
      </c>
      <c r="I876" s="310">
        <v>46126</v>
      </c>
      <c r="J876" s="311" t="s">
        <v>91</v>
      </c>
      <c r="K876" s="306" t="s">
        <v>72</v>
      </c>
      <c r="L876" s="307">
        <v>46090</v>
      </c>
      <c r="M876" s="306" t="str">
        <f ca="1">IF(Tabela4[[#This Row],[RECOMPRADO]]="RECEBIDO","LIQUIDADO",IF(O876="LIQUIDADO","LIQUIDADO",IF(I876&lt;$I$5,"VENCIDO","A VENCER")))</f>
        <v>A VENCER</v>
      </c>
      <c r="N876" s="312">
        <f ca="1">IF(Tabela4[[#This Row],[STATUS]]="LIQUIDADO","",Tabela4[[#This Row],[VCTO]]-$I$5)</f>
        <v>28</v>
      </c>
      <c r="O876" s="306"/>
      <c r="P876" s="307"/>
      <c r="Q876" s="306"/>
      <c r="R876" s="306"/>
      <c r="S876" s="306"/>
      <c r="T876" s="26" t="s">
        <v>388</v>
      </c>
      <c r="U876" s="26"/>
      <c r="V876" s="5" t="s">
        <v>635</v>
      </c>
    </row>
    <row r="877" spans="1:22">
      <c r="A877" s="300" t="s">
        <v>0</v>
      </c>
      <c r="B877" s="307">
        <v>46087</v>
      </c>
      <c r="C877" s="6" t="s">
        <v>41</v>
      </c>
      <c r="D877" s="300">
        <v>458</v>
      </c>
      <c r="E877" s="35" t="s">
        <v>96</v>
      </c>
      <c r="F877" s="5" t="s">
        <v>589</v>
      </c>
      <c r="G877" s="302">
        <v>1134726000180</v>
      </c>
      <c r="H877" s="303">
        <v>6642</v>
      </c>
      <c r="I877" s="304">
        <v>46133</v>
      </c>
      <c r="J877" s="311" t="s">
        <v>91</v>
      </c>
      <c r="K877" s="306" t="s">
        <v>72</v>
      </c>
      <c r="L877" s="307">
        <v>46090</v>
      </c>
      <c r="M877" s="300" t="str">
        <f ca="1">IF(Tabela4[[#This Row],[RECOMPRADO]]="RECEBIDO","LIQUIDADO",IF(O877="LIQUIDADO","LIQUIDADO",IF(I877&lt;$I$5,"VENCIDO","A VENCER")))</f>
        <v>A VENCER</v>
      </c>
      <c r="N877" s="305">
        <f ca="1">IF(Tabela4[[#This Row],[STATUS]]="LIQUIDADO","",Tabela4[[#This Row],[VCTO]]-$I$5)</f>
        <v>35</v>
      </c>
      <c r="O877" s="300"/>
      <c r="P877" s="301"/>
      <c r="Q877" s="300"/>
      <c r="R877" s="300"/>
      <c r="S877" s="300"/>
      <c r="T877" s="5" t="s">
        <v>388</v>
      </c>
      <c r="U877" s="5"/>
      <c r="V877" s="5" t="s">
        <v>635</v>
      </c>
    </row>
    <row r="878" spans="1:22">
      <c r="A878" s="300" t="s">
        <v>0</v>
      </c>
      <c r="B878" s="307">
        <v>46087</v>
      </c>
      <c r="C878" s="6" t="s">
        <v>41</v>
      </c>
      <c r="D878" s="300">
        <v>458</v>
      </c>
      <c r="E878" s="35" t="s">
        <v>97</v>
      </c>
      <c r="F878" s="5" t="s">
        <v>589</v>
      </c>
      <c r="G878" s="302">
        <v>1134726000180</v>
      </c>
      <c r="H878" s="303">
        <v>6642</v>
      </c>
      <c r="I878" s="304">
        <v>46140</v>
      </c>
      <c r="J878" s="311" t="s">
        <v>91</v>
      </c>
      <c r="K878" s="306" t="s">
        <v>72</v>
      </c>
      <c r="L878" s="307">
        <v>46090</v>
      </c>
      <c r="M878" s="300" t="str">
        <f ca="1">IF(Tabela4[[#This Row],[RECOMPRADO]]="RECEBIDO","LIQUIDADO",IF(O878="LIQUIDADO","LIQUIDADO",IF(I878&lt;$I$5,"VENCIDO","A VENCER")))</f>
        <v>A VENCER</v>
      </c>
      <c r="N878" s="305">
        <f ca="1">IF(Tabela4[[#This Row],[STATUS]]="LIQUIDADO","",Tabela4[[#This Row],[VCTO]]-$I$5)</f>
        <v>42</v>
      </c>
      <c r="O878" s="300"/>
      <c r="P878" s="301"/>
      <c r="Q878" s="300"/>
      <c r="R878" s="300"/>
      <c r="S878" s="300"/>
      <c r="T878" s="5" t="s">
        <v>388</v>
      </c>
      <c r="U878" s="5"/>
      <c r="V878" s="5" t="s">
        <v>635</v>
      </c>
    </row>
    <row r="879" spans="1:22">
      <c r="A879" s="306" t="s">
        <v>0</v>
      </c>
      <c r="B879" s="307">
        <v>46087</v>
      </c>
      <c r="C879" s="11" t="s">
        <v>41</v>
      </c>
      <c r="D879" s="300">
        <v>458</v>
      </c>
      <c r="E879" s="35" t="s">
        <v>98</v>
      </c>
      <c r="F879" s="5" t="s">
        <v>589</v>
      </c>
      <c r="G879" s="302">
        <v>1134726000180</v>
      </c>
      <c r="H879" s="303">
        <v>6642</v>
      </c>
      <c r="I879" s="310">
        <v>46147</v>
      </c>
      <c r="J879" s="311" t="s">
        <v>91</v>
      </c>
      <c r="K879" s="306" t="s">
        <v>72</v>
      </c>
      <c r="L879" s="307">
        <v>46090</v>
      </c>
      <c r="M879" s="306" t="str">
        <f ca="1">IF(Tabela4[[#This Row],[RECOMPRADO]]="RECEBIDO","LIQUIDADO",IF(O879="LIQUIDADO","LIQUIDADO",IF(I879&lt;$I$5,"VENCIDO","A VENCER")))</f>
        <v>A VENCER</v>
      </c>
      <c r="N879" s="312">
        <f ca="1">IF(Tabela4[[#This Row],[STATUS]]="LIQUIDADO","",Tabela4[[#This Row],[VCTO]]-$I$5)</f>
        <v>49</v>
      </c>
      <c r="O879" s="306"/>
      <c r="P879" s="307"/>
      <c r="Q879" s="306"/>
      <c r="R879" s="306"/>
      <c r="S879" s="306"/>
      <c r="T879" s="26" t="s">
        <v>388</v>
      </c>
      <c r="U879" s="26"/>
      <c r="V879" s="5" t="s">
        <v>635</v>
      </c>
    </row>
    <row r="880" spans="1:22">
      <c r="A880" s="300" t="s">
        <v>0</v>
      </c>
      <c r="B880" s="307">
        <v>46087</v>
      </c>
      <c r="C880" s="301" t="s">
        <v>41</v>
      </c>
      <c r="D880" s="300">
        <v>459</v>
      </c>
      <c r="E880" s="35" t="s">
        <v>92</v>
      </c>
      <c r="F880" s="5" t="s">
        <v>590</v>
      </c>
      <c r="G880" s="302">
        <v>47691327000110</v>
      </c>
      <c r="H880" s="303">
        <v>1366.67</v>
      </c>
      <c r="I880" s="304">
        <v>46119</v>
      </c>
      <c r="J880" s="311" t="s">
        <v>91</v>
      </c>
      <c r="K880" s="306" t="s">
        <v>73</v>
      </c>
      <c r="L880" s="307">
        <v>46087</v>
      </c>
      <c r="M880" s="300" t="str">
        <f ca="1">IF(Tabela4[[#This Row],[RECOMPRADO]]="RECEBIDO","LIQUIDADO",IF(O880="LIQUIDADO","LIQUIDADO",IF(I880&lt;$I$5,"VENCIDO","A VENCER")))</f>
        <v>A VENCER</v>
      </c>
      <c r="N880" s="305">
        <f ca="1">IF(Tabela4[[#This Row],[STATUS]]="LIQUIDADO","",Tabela4[[#This Row],[VCTO]]-$I$5)</f>
        <v>21</v>
      </c>
      <c r="O880" s="300"/>
      <c r="P880" s="301"/>
      <c r="Q880" s="300"/>
      <c r="R880" s="300"/>
      <c r="S880" s="300"/>
      <c r="T880" s="300"/>
      <c r="U880" s="300"/>
      <c r="V880" s="5"/>
    </row>
    <row r="881" spans="1:22">
      <c r="A881" s="300" t="s">
        <v>0</v>
      </c>
      <c r="B881" s="307">
        <v>46087</v>
      </c>
      <c r="C881" s="301" t="s">
        <v>41</v>
      </c>
      <c r="D881" s="300">
        <v>459</v>
      </c>
      <c r="E881" s="35" t="s">
        <v>95</v>
      </c>
      <c r="F881" s="5" t="s">
        <v>590</v>
      </c>
      <c r="G881" s="302">
        <v>47691327000110</v>
      </c>
      <c r="H881" s="303">
        <v>1366.67</v>
      </c>
      <c r="I881" s="304">
        <v>46126</v>
      </c>
      <c r="J881" s="311" t="s">
        <v>91</v>
      </c>
      <c r="K881" s="306" t="s">
        <v>73</v>
      </c>
      <c r="L881" s="307">
        <v>46087</v>
      </c>
      <c r="M881" s="300" t="str">
        <f ca="1">IF(Tabela4[[#This Row],[RECOMPRADO]]="RECEBIDO","LIQUIDADO",IF(O881="LIQUIDADO","LIQUIDADO",IF(I881&lt;$I$5,"VENCIDO","A VENCER")))</f>
        <v>A VENCER</v>
      </c>
      <c r="N881" s="305">
        <f ca="1">IF(Tabela4[[#This Row],[STATUS]]="LIQUIDADO","",Tabela4[[#This Row],[VCTO]]-$I$5)</f>
        <v>28</v>
      </c>
      <c r="O881" s="300"/>
      <c r="P881" s="301"/>
      <c r="Q881" s="300"/>
      <c r="R881" s="300"/>
      <c r="S881" s="300"/>
      <c r="T881" s="300"/>
      <c r="U881" s="300"/>
      <c r="V881" s="5"/>
    </row>
    <row r="882" spans="1:22">
      <c r="A882" s="306" t="s">
        <v>0</v>
      </c>
      <c r="B882" s="307">
        <v>46087</v>
      </c>
      <c r="C882" s="307" t="s">
        <v>41</v>
      </c>
      <c r="D882" s="300">
        <v>459</v>
      </c>
      <c r="E882" s="35" t="s">
        <v>96</v>
      </c>
      <c r="F882" s="5" t="s">
        <v>590</v>
      </c>
      <c r="G882" s="302">
        <v>47691327000110</v>
      </c>
      <c r="H882" s="303">
        <v>1366.67</v>
      </c>
      <c r="I882" s="310">
        <v>46133</v>
      </c>
      <c r="J882" s="311" t="s">
        <v>91</v>
      </c>
      <c r="K882" s="306" t="s">
        <v>73</v>
      </c>
      <c r="L882" s="307">
        <v>46087</v>
      </c>
      <c r="M882" s="306" t="str">
        <f ca="1">IF(Tabela4[[#This Row],[RECOMPRADO]]="RECEBIDO","LIQUIDADO",IF(O882="LIQUIDADO","LIQUIDADO",IF(I882&lt;$I$5,"VENCIDO","A VENCER")))</f>
        <v>A VENCER</v>
      </c>
      <c r="N882" s="312">
        <f ca="1">IF(Tabela4[[#This Row],[STATUS]]="LIQUIDADO","",Tabela4[[#This Row],[VCTO]]-$I$5)</f>
        <v>35</v>
      </c>
      <c r="O882" s="306"/>
      <c r="P882" s="307"/>
      <c r="Q882" s="306"/>
      <c r="R882" s="306"/>
      <c r="S882" s="306"/>
      <c r="T882" s="306"/>
      <c r="U882" s="306"/>
      <c r="V882" s="5"/>
    </row>
    <row r="883" spans="1:22">
      <c r="A883" s="300" t="s">
        <v>0</v>
      </c>
      <c r="B883" s="307">
        <v>46087</v>
      </c>
      <c r="C883" s="307" t="s">
        <v>41</v>
      </c>
      <c r="D883" s="300">
        <v>460</v>
      </c>
      <c r="E883" s="10" t="s">
        <v>92</v>
      </c>
      <c r="F883" s="5" t="s">
        <v>591</v>
      </c>
      <c r="G883" s="302">
        <v>59329822000163</v>
      </c>
      <c r="H883" s="303">
        <v>3638.33</v>
      </c>
      <c r="I883" s="304">
        <v>46120</v>
      </c>
      <c r="J883" s="311" t="s">
        <v>91</v>
      </c>
      <c r="K883" s="306" t="s">
        <v>73</v>
      </c>
      <c r="L883" s="307">
        <v>46087</v>
      </c>
      <c r="M883" s="300" t="str">
        <f ca="1">IF(Tabela4[[#This Row],[RECOMPRADO]]="RECEBIDO","LIQUIDADO",IF(O883="LIQUIDADO","LIQUIDADO",IF(I883&lt;$I$5,"VENCIDO","A VENCER")))</f>
        <v>A VENCER</v>
      </c>
      <c r="N883" s="305">
        <f ca="1">IF(Tabela4[[#This Row],[STATUS]]="LIQUIDADO","",Tabela4[[#This Row],[VCTO]]-$I$5)</f>
        <v>22</v>
      </c>
      <c r="O883" s="300"/>
      <c r="P883" s="301"/>
      <c r="Q883" s="300"/>
      <c r="R883" s="300"/>
      <c r="S883" s="300"/>
      <c r="T883" s="300"/>
      <c r="U883" s="300"/>
      <c r="V883" s="5"/>
    </row>
    <row r="884" spans="1:22">
      <c r="A884" s="300" t="s">
        <v>0</v>
      </c>
      <c r="B884" s="307">
        <v>46087</v>
      </c>
      <c r="C884" s="307" t="s">
        <v>41</v>
      </c>
      <c r="D884" s="300">
        <v>460</v>
      </c>
      <c r="E884" s="10" t="s">
        <v>95</v>
      </c>
      <c r="F884" s="5" t="s">
        <v>591</v>
      </c>
      <c r="G884" s="302">
        <v>59329822000163</v>
      </c>
      <c r="H884" s="303">
        <v>3638.33</v>
      </c>
      <c r="I884" s="304">
        <v>46127</v>
      </c>
      <c r="J884" s="311" t="s">
        <v>91</v>
      </c>
      <c r="K884" s="306" t="s">
        <v>73</v>
      </c>
      <c r="L884" s="307">
        <v>46087</v>
      </c>
      <c r="M884" s="300" t="str">
        <f ca="1">IF(Tabela4[[#This Row],[RECOMPRADO]]="RECEBIDO","LIQUIDADO",IF(O884="LIQUIDADO","LIQUIDADO",IF(I884&lt;$I$5,"VENCIDO","A VENCER")))</f>
        <v>A VENCER</v>
      </c>
      <c r="N884" s="305">
        <f ca="1">IF(Tabela4[[#This Row],[STATUS]]="LIQUIDADO","",Tabela4[[#This Row],[VCTO]]-$I$5)</f>
        <v>29</v>
      </c>
      <c r="O884" s="300"/>
      <c r="P884" s="301"/>
      <c r="Q884" s="300"/>
      <c r="R884" s="300"/>
      <c r="S884" s="300"/>
      <c r="T884" s="300"/>
      <c r="U884" s="300"/>
      <c r="V884" s="5"/>
    </row>
    <row r="885" spans="1:22">
      <c r="A885" s="300" t="s">
        <v>0</v>
      </c>
      <c r="B885" s="307">
        <v>46087</v>
      </c>
      <c r="C885" s="307" t="s">
        <v>41</v>
      </c>
      <c r="D885" s="300">
        <v>460</v>
      </c>
      <c r="E885" s="10" t="s">
        <v>96</v>
      </c>
      <c r="F885" s="5" t="s">
        <v>591</v>
      </c>
      <c r="G885" s="302">
        <v>59329822000163</v>
      </c>
      <c r="H885" s="303">
        <v>3638.33</v>
      </c>
      <c r="I885" s="304">
        <v>46134</v>
      </c>
      <c r="J885" s="311" t="s">
        <v>91</v>
      </c>
      <c r="K885" s="306" t="s">
        <v>73</v>
      </c>
      <c r="L885" s="307">
        <v>46087</v>
      </c>
      <c r="M885" s="300" t="str">
        <f ca="1">IF(Tabela4[[#This Row],[RECOMPRADO]]="RECEBIDO","LIQUIDADO",IF(O885="LIQUIDADO","LIQUIDADO",IF(I885&lt;$I$5,"VENCIDO","A VENCER")))</f>
        <v>A VENCER</v>
      </c>
      <c r="N885" s="305">
        <f ca="1">IF(Tabela4[[#This Row],[STATUS]]="LIQUIDADO","",Tabela4[[#This Row],[VCTO]]-$I$5)</f>
        <v>36</v>
      </c>
      <c r="O885" s="300"/>
      <c r="P885" s="301"/>
      <c r="Q885" s="300"/>
      <c r="R885" s="300"/>
      <c r="S885" s="300"/>
      <c r="T885" s="300"/>
      <c r="U885" s="300"/>
      <c r="V885" s="5"/>
    </row>
    <row r="886" spans="1:22">
      <c r="A886" s="306" t="s">
        <v>0</v>
      </c>
      <c r="B886" s="307">
        <v>46087</v>
      </c>
      <c r="C886" s="307" t="s">
        <v>41</v>
      </c>
      <c r="D886" s="300">
        <v>457</v>
      </c>
      <c r="E886" s="35" t="s">
        <v>92</v>
      </c>
      <c r="F886" s="5" t="s">
        <v>589</v>
      </c>
      <c r="G886" s="302">
        <v>1134726000341</v>
      </c>
      <c r="H886" s="303">
        <v>4578.9399999999996</v>
      </c>
      <c r="I886" s="310">
        <v>46112</v>
      </c>
      <c r="J886" s="311" t="s">
        <v>91</v>
      </c>
      <c r="K886" s="306" t="s">
        <v>73</v>
      </c>
      <c r="L886" s="307">
        <v>46087</v>
      </c>
      <c r="M886" s="306" t="str">
        <f ca="1">IF(Tabela4[[#This Row],[RECOMPRADO]]="RECEBIDO","LIQUIDADO",IF(O886="LIQUIDADO","LIQUIDADO",IF(I886&lt;$I$5,"VENCIDO","A VENCER")))</f>
        <v>A VENCER</v>
      </c>
      <c r="N886" s="312">
        <f ca="1">IF(Tabela4[[#This Row],[STATUS]]="LIQUIDADO","",Tabela4[[#This Row],[VCTO]]-$I$5)</f>
        <v>14</v>
      </c>
      <c r="O886" s="306"/>
      <c r="P886" s="307"/>
      <c r="Q886" s="306"/>
      <c r="R886" s="306"/>
      <c r="S886" s="306"/>
      <c r="T886" s="306"/>
      <c r="U886" s="306"/>
      <c r="V886" s="5"/>
    </row>
    <row r="887" spans="1:22">
      <c r="A887" s="300" t="s">
        <v>0</v>
      </c>
      <c r="B887" s="307">
        <v>46087</v>
      </c>
      <c r="C887" s="301" t="s">
        <v>41</v>
      </c>
      <c r="D887" s="300">
        <v>457</v>
      </c>
      <c r="E887" s="10" t="s">
        <v>95</v>
      </c>
      <c r="F887" s="5" t="s">
        <v>589</v>
      </c>
      <c r="G887" s="302">
        <v>1134726000341</v>
      </c>
      <c r="H887" s="303">
        <v>4578.9399999999996</v>
      </c>
      <c r="I887" s="304">
        <v>46119</v>
      </c>
      <c r="J887" s="311" t="s">
        <v>91</v>
      </c>
      <c r="K887" s="306" t="s">
        <v>73</v>
      </c>
      <c r="L887" s="307">
        <v>46087</v>
      </c>
      <c r="M887" s="300" t="str">
        <f ca="1">IF(Tabela4[[#This Row],[RECOMPRADO]]="RECEBIDO","LIQUIDADO",IF(O887="LIQUIDADO","LIQUIDADO",IF(I887&lt;$I$5,"VENCIDO","A VENCER")))</f>
        <v>A VENCER</v>
      </c>
      <c r="N887" s="305">
        <f ca="1">IF(Tabela4[[#This Row],[STATUS]]="LIQUIDADO","",Tabela4[[#This Row],[VCTO]]-$I$5)</f>
        <v>21</v>
      </c>
      <c r="O887" s="300"/>
      <c r="P887" s="301"/>
      <c r="Q887" s="300"/>
      <c r="R887" s="300"/>
      <c r="S887" s="300"/>
      <c r="T887" s="300"/>
      <c r="U887" s="300"/>
      <c r="V887" s="5"/>
    </row>
    <row r="888" spans="1:22">
      <c r="A888" s="300" t="s">
        <v>0</v>
      </c>
      <c r="B888" s="307">
        <v>46087</v>
      </c>
      <c r="C888" s="301" t="s">
        <v>41</v>
      </c>
      <c r="D888" s="300">
        <v>457</v>
      </c>
      <c r="E888" s="10" t="s">
        <v>96</v>
      </c>
      <c r="F888" s="5" t="s">
        <v>589</v>
      </c>
      <c r="G888" s="302">
        <v>1134726000341</v>
      </c>
      <c r="H888" s="303">
        <v>4578.9399999999996</v>
      </c>
      <c r="I888" s="304">
        <v>46126</v>
      </c>
      <c r="J888" s="311" t="s">
        <v>91</v>
      </c>
      <c r="K888" s="306" t="s">
        <v>73</v>
      </c>
      <c r="L888" s="307">
        <v>46087</v>
      </c>
      <c r="M888" s="300" t="str">
        <f ca="1">IF(Tabela4[[#This Row],[RECOMPRADO]]="RECEBIDO","LIQUIDADO",IF(O888="LIQUIDADO","LIQUIDADO",IF(I888&lt;$I$5,"VENCIDO","A VENCER")))</f>
        <v>A VENCER</v>
      </c>
      <c r="N888" s="305">
        <f ca="1">IF(Tabela4[[#This Row],[STATUS]]="LIQUIDADO","",Tabela4[[#This Row],[VCTO]]-$I$5)</f>
        <v>28</v>
      </c>
      <c r="O888" s="300"/>
      <c r="P888" s="301"/>
      <c r="Q888" s="300"/>
      <c r="R888" s="300"/>
      <c r="S888" s="300"/>
      <c r="T888" s="300"/>
      <c r="U888" s="300"/>
      <c r="V888" s="5"/>
    </row>
    <row r="889" spans="1:22">
      <c r="A889" s="306" t="s">
        <v>0</v>
      </c>
      <c r="B889" s="307">
        <v>46087</v>
      </c>
      <c r="C889" s="307" t="s">
        <v>41</v>
      </c>
      <c r="D889" s="300">
        <v>457</v>
      </c>
      <c r="E889" s="10" t="s">
        <v>97</v>
      </c>
      <c r="F889" s="5" t="s">
        <v>589</v>
      </c>
      <c r="G889" s="302">
        <v>1134726000341</v>
      </c>
      <c r="H889" s="303">
        <v>4578.9399999999996</v>
      </c>
      <c r="I889" s="310">
        <v>46133</v>
      </c>
      <c r="J889" s="311" t="s">
        <v>91</v>
      </c>
      <c r="K889" s="306" t="s">
        <v>73</v>
      </c>
      <c r="L889" s="307">
        <v>46087</v>
      </c>
      <c r="M889" s="306" t="str">
        <f ca="1">IF(Tabela4[[#This Row],[RECOMPRADO]]="RECEBIDO","LIQUIDADO",IF(O889="LIQUIDADO","LIQUIDADO",IF(I889&lt;$I$5,"VENCIDO","A VENCER")))</f>
        <v>A VENCER</v>
      </c>
      <c r="N889" s="312">
        <f ca="1">IF(Tabela4[[#This Row],[STATUS]]="LIQUIDADO","",Tabela4[[#This Row],[VCTO]]-$I$5)</f>
        <v>35</v>
      </c>
      <c r="O889" s="306"/>
      <c r="P889" s="307"/>
      <c r="Q889" s="306"/>
      <c r="R889" s="306"/>
      <c r="S889" s="306"/>
      <c r="T889" s="306"/>
      <c r="U889" s="306"/>
      <c r="V889" s="5"/>
    </row>
    <row r="890" spans="1:22">
      <c r="A890" s="300" t="s">
        <v>0</v>
      </c>
      <c r="B890" s="307">
        <v>46087</v>
      </c>
      <c r="C890" s="301" t="s">
        <v>41</v>
      </c>
      <c r="D890" s="300">
        <v>461</v>
      </c>
      <c r="E890" s="10" t="s">
        <v>92</v>
      </c>
      <c r="F890" s="5" t="s">
        <v>592</v>
      </c>
      <c r="G890" s="302">
        <v>31306807000160</v>
      </c>
      <c r="H890" s="303">
        <v>1469.71</v>
      </c>
      <c r="I890" s="304">
        <v>46120</v>
      </c>
      <c r="J890" s="311" t="s">
        <v>91</v>
      </c>
      <c r="K890" s="306" t="s">
        <v>73</v>
      </c>
      <c r="L890" s="307">
        <v>46087</v>
      </c>
      <c r="M890" s="300" t="str">
        <f ca="1">IF(Tabela4[[#This Row],[RECOMPRADO]]="RECEBIDO","LIQUIDADO",IF(O890="LIQUIDADO","LIQUIDADO",IF(I890&lt;$I$5,"VENCIDO","A VENCER")))</f>
        <v>A VENCER</v>
      </c>
      <c r="N890" s="305">
        <f ca="1">IF(Tabela4[[#This Row],[STATUS]]="LIQUIDADO","",Tabela4[[#This Row],[VCTO]]-$I$5)</f>
        <v>22</v>
      </c>
      <c r="O890" s="300"/>
      <c r="P890" s="301"/>
      <c r="Q890" s="300"/>
      <c r="R890" s="300"/>
      <c r="S890" s="300"/>
      <c r="T890" s="300"/>
      <c r="U890" s="300"/>
      <c r="V890" s="5"/>
    </row>
    <row r="891" spans="1:22">
      <c r="A891" s="300" t="s">
        <v>0</v>
      </c>
      <c r="B891" s="307">
        <v>46087</v>
      </c>
      <c r="C891" s="301" t="s">
        <v>41</v>
      </c>
      <c r="D891" s="300">
        <v>461</v>
      </c>
      <c r="E891" s="10" t="s">
        <v>95</v>
      </c>
      <c r="F891" s="5" t="s">
        <v>592</v>
      </c>
      <c r="G891" s="302">
        <v>31306807000160</v>
      </c>
      <c r="H891" s="303">
        <v>1198</v>
      </c>
      <c r="I891" s="304">
        <v>46127</v>
      </c>
      <c r="J891" s="311" t="s">
        <v>91</v>
      </c>
      <c r="K891" s="306" t="s">
        <v>73</v>
      </c>
      <c r="L891" s="307">
        <v>46087</v>
      </c>
      <c r="M891" s="300" t="str">
        <f ca="1">IF(Tabela4[[#This Row],[RECOMPRADO]]="RECEBIDO","LIQUIDADO",IF(O891="LIQUIDADO","LIQUIDADO",IF(I891&lt;$I$5,"VENCIDO","A VENCER")))</f>
        <v>A VENCER</v>
      </c>
      <c r="N891" s="305">
        <f ca="1">IF(Tabela4[[#This Row],[STATUS]]="LIQUIDADO","",Tabela4[[#This Row],[VCTO]]-$I$5)</f>
        <v>29</v>
      </c>
      <c r="O891" s="300"/>
      <c r="P891" s="301"/>
      <c r="Q891" s="300"/>
      <c r="R891" s="300"/>
      <c r="S891" s="300"/>
      <c r="T891" s="300"/>
      <c r="U891" s="300"/>
      <c r="V891" s="5"/>
    </row>
    <row r="892" spans="1:22">
      <c r="A892" s="306" t="s">
        <v>0</v>
      </c>
      <c r="B892" s="307">
        <v>46087</v>
      </c>
      <c r="C892" s="307" t="s">
        <v>41</v>
      </c>
      <c r="D892" s="306">
        <v>461</v>
      </c>
      <c r="E892" s="10" t="s">
        <v>96</v>
      </c>
      <c r="F892" s="5" t="s">
        <v>592</v>
      </c>
      <c r="G892" s="302">
        <v>31306807000160</v>
      </c>
      <c r="H892" s="303">
        <v>1198</v>
      </c>
      <c r="I892" s="310">
        <v>46134</v>
      </c>
      <c r="J892" s="311" t="s">
        <v>91</v>
      </c>
      <c r="K892" s="306" t="s">
        <v>73</v>
      </c>
      <c r="L892" s="307">
        <v>46087</v>
      </c>
      <c r="M892" s="306" t="str">
        <f ca="1">IF(Tabela4[[#This Row],[RECOMPRADO]]="RECEBIDO","LIQUIDADO",IF(O892="LIQUIDADO","LIQUIDADO",IF(I892&lt;$I$5,"VENCIDO","A VENCER")))</f>
        <v>A VENCER</v>
      </c>
      <c r="N892" s="312">
        <f ca="1">IF(Tabela4[[#This Row],[STATUS]]="LIQUIDADO","",Tabela4[[#This Row],[VCTO]]-$I$5)</f>
        <v>36</v>
      </c>
      <c r="O892" s="306"/>
      <c r="P892" s="307"/>
      <c r="Q892" s="306"/>
      <c r="R892" s="306"/>
      <c r="S892" s="306"/>
      <c r="T892" s="306"/>
      <c r="U892" s="306"/>
      <c r="V892" s="5"/>
    </row>
    <row r="893" spans="1:22">
      <c r="A893" s="306" t="s">
        <v>0</v>
      </c>
      <c r="B893" s="307">
        <v>46087</v>
      </c>
      <c r="C893" s="307" t="s">
        <v>41</v>
      </c>
      <c r="D893" s="306">
        <v>728</v>
      </c>
      <c r="E893" s="10" t="s">
        <v>92</v>
      </c>
      <c r="F893" s="5" t="s">
        <v>593</v>
      </c>
      <c r="G893" s="308">
        <v>23660056000178</v>
      </c>
      <c r="H893" s="309">
        <v>8056</v>
      </c>
      <c r="I893" s="316">
        <v>46122</v>
      </c>
      <c r="J893" s="311" t="s">
        <v>91</v>
      </c>
      <c r="K893" s="306" t="s">
        <v>73</v>
      </c>
      <c r="L893" s="307">
        <v>46087</v>
      </c>
      <c r="M893" s="306" t="str">
        <f ca="1">IF(Tabela4[[#This Row],[RECOMPRADO]]="RECEBIDO","LIQUIDADO",IF(O893="LIQUIDADO","LIQUIDADO",IF(I893&lt;$I$5,"VENCIDO","A VENCER")))</f>
        <v>A VENCER</v>
      </c>
      <c r="N893" s="312">
        <f ca="1">IF(Tabela4[[#This Row],[STATUS]]="LIQUIDADO","",Tabela4[[#This Row],[VCTO]]-$I$5)</f>
        <v>24</v>
      </c>
      <c r="O893" s="306"/>
      <c r="P893" s="307"/>
      <c r="Q893" s="306"/>
      <c r="R893" s="306"/>
      <c r="S893" s="306"/>
      <c r="T893" s="306"/>
      <c r="U893" s="306"/>
      <c r="V893" s="5"/>
    </row>
    <row r="894" spans="1:22">
      <c r="A894" s="306" t="s">
        <v>0</v>
      </c>
      <c r="B894" s="307">
        <v>46087</v>
      </c>
      <c r="C894" s="307" t="s">
        <v>41</v>
      </c>
      <c r="D894" s="306">
        <v>728</v>
      </c>
      <c r="E894" s="10" t="s">
        <v>95</v>
      </c>
      <c r="F894" s="5" t="s">
        <v>593</v>
      </c>
      <c r="G894" s="308">
        <v>23660056000178</v>
      </c>
      <c r="H894" s="309">
        <v>8056</v>
      </c>
      <c r="I894" s="316">
        <v>46129</v>
      </c>
      <c r="J894" s="311" t="s">
        <v>91</v>
      </c>
      <c r="K894" s="306" t="s">
        <v>73</v>
      </c>
      <c r="L894" s="307">
        <v>46087</v>
      </c>
      <c r="M894" s="306" t="str">
        <f ca="1">IF(Tabela4[[#This Row],[RECOMPRADO]]="RECEBIDO","LIQUIDADO",IF(O894="LIQUIDADO","LIQUIDADO",IF(I894&lt;$I$5,"VENCIDO","A VENCER")))</f>
        <v>A VENCER</v>
      </c>
      <c r="N894" s="312">
        <f ca="1">IF(Tabela4[[#This Row],[STATUS]]="LIQUIDADO","",Tabela4[[#This Row],[VCTO]]-$I$5)</f>
        <v>31</v>
      </c>
      <c r="O894" s="306"/>
      <c r="P894" s="307"/>
      <c r="Q894" s="306"/>
      <c r="R894" s="306"/>
      <c r="S894" s="306"/>
      <c r="T894" s="306"/>
      <c r="U894" s="306"/>
      <c r="V894" s="5"/>
    </row>
    <row r="895" spans="1:22">
      <c r="A895" s="306" t="s">
        <v>0</v>
      </c>
      <c r="B895" s="307">
        <v>46087</v>
      </c>
      <c r="C895" s="307" t="s">
        <v>41</v>
      </c>
      <c r="D895" s="306">
        <v>728</v>
      </c>
      <c r="E895" s="10" t="s">
        <v>96</v>
      </c>
      <c r="F895" s="5" t="s">
        <v>593</v>
      </c>
      <c r="G895" s="308">
        <v>23660056000178</v>
      </c>
      <c r="H895" s="309">
        <v>8056</v>
      </c>
      <c r="I895" s="316">
        <v>46136</v>
      </c>
      <c r="J895" s="311" t="s">
        <v>91</v>
      </c>
      <c r="K895" s="306" t="s">
        <v>73</v>
      </c>
      <c r="L895" s="307">
        <v>46087</v>
      </c>
      <c r="M895" s="306" t="str">
        <f ca="1">IF(Tabela4[[#This Row],[RECOMPRADO]]="RECEBIDO","LIQUIDADO",IF(O895="LIQUIDADO","LIQUIDADO",IF(I895&lt;$I$5,"VENCIDO","A VENCER")))</f>
        <v>A VENCER</v>
      </c>
      <c r="N895" s="312">
        <f ca="1">IF(Tabela4[[#This Row],[STATUS]]="LIQUIDADO","",Tabela4[[#This Row],[VCTO]]-$I$5)</f>
        <v>38</v>
      </c>
      <c r="O895" s="306"/>
      <c r="P895" s="307"/>
      <c r="Q895" s="306"/>
      <c r="R895" s="306"/>
      <c r="S895" s="306"/>
      <c r="T895" s="306"/>
      <c r="U895" s="306"/>
      <c r="V895" s="5"/>
    </row>
    <row r="896" spans="1:22">
      <c r="A896" s="318" t="s">
        <v>0</v>
      </c>
      <c r="B896" s="319">
        <v>46092</v>
      </c>
      <c r="C896" s="11" t="s">
        <v>41</v>
      </c>
      <c r="D896" s="318">
        <v>474</v>
      </c>
      <c r="E896" s="35" t="s">
        <v>92</v>
      </c>
      <c r="F896" s="26" t="s">
        <v>614</v>
      </c>
      <c r="G896" s="320">
        <v>27072147000143</v>
      </c>
      <c r="H896" s="321">
        <v>6992</v>
      </c>
      <c r="I896" s="322">
        <v>46092</v>
      </c>
      <c r="J896" s="323" t="s">
        <v>125</v>
      </c>
      <c r="K896" s="318" t="s">
        <v>78</v>
      </c>
      <c r="L896" s="319"/>
      <c r="M896" s="318" t="str">
        <f>IF(Tabela4[[#This Row],[RECOMPRADO]]="RECEBIDO","LIQUIDADO",IF(O896="LIQUIDADO","LIQUIDADO",IF(I896&lt;$I$5,"VENCIDO","A VENCER")))</f>
        <v>LIQUIDADO</v>
      </c>
      <c r="N896" s="324" t="str">
        <f>IF(Tabela4[[#This Row],[STATUS]]="LIQUIDADO","",Tabela4[[#This Row],[VCTO]]-$I$5)</f>
        <v/>
      </c>
      <c r="O896" s="318" t="s">
        <v>86</v>
      </c>
      <c r="P896" s="319"/>
      <c r="Q896" s="318"/>
      <c r="R896" s="318"/>
      <c r="S896" s="318"/>
      <c r="T896" s="26" t="s">
        <v>615</v>
      </c>
      <c r="U896" s="26"/>
      <c r="V896" s="5"/>
    </row>
    <row r="897" spans="1:22">
      <c r="A897" s="318" t="s">
        <v>0</v>
      </c>
      <c r="B897" s="319">
        <v>46092</v>
      </c>
      <c r="C897" s="11" t="s">
        <v>41</v>
      </c>
      <c r="D897" s="318">
        <v>476</v>
      </c>
      <c r="E897" s="35" t="s">
        <v>92</v>
      </c>
      <c r="F897" s="26" t="s">
        <v>616</v>
      </c>
      <c r="G897" s="320">
        <v>50160305000139</v>
      </c>
      <c r="H897" s="321">
        <v>1851.93</v>
      </c>
      <c r="I897" s="216">
        <v>46121</v>
      </c>
      <c r="J897" s="323" t="s">
        <v>91</v>
      </c>
      <c r="K897" s="318" t="s">
        <v>80</v>
      </c>
      <c r="L897" s="319">
        <v>46094</v>
      </c>
      <c r="M897" s="318" t="str">
        <f ca="1">IF(Tabela4[[#This Row],[RECOMPRADO]]="RECEBIDO","LIQUIDADO",IF(O897="LIQUIDADO","LIQUIDADO",IF(I897&lt;$I$5,"VENCIDO","A VENCER")))</f>
        <v>A VENCER</v>
      </c>
      <c r="N897" s="324">
        <f ca="1">IF(Tabela4[[#This Row],[STATUS]]="LIQUIDADO","",Tabela4[[#This Row],[VCTO]]-$I$5)</f>
        <v>23</v>
      </c>
      <c r="O897" s="318"/>
      <c r="P897" s="319"/>
      <c r="Q897" s="318"/>
      <c r="R897" s="318"/>
      <c r="S897" s="318"/>
      <c r="T897" s="318"/>
      <c r="U897" s="318"/>
      <c r="V897" s="5"/>
    </row>
    <row r="898" spans="1:22">
      <c r="A898" s="318" t="s">
        <v>0</v>
      </c>
      <c r="B898" s="319">
        <v>46092</v>
      </c>
      <c r="C898" s="11" t="s">
        <v>41</v>
      </c>
      <c r="D898" s="318">
        <v>476</v>
      </c>
      <c r="E898" s="35" t="s">
        <v>95</v>
      </c>
      <c r="F898" s="26" t="s">
        <v>616</v>
      </c>
      <c r="G898" s="320">
        <v>50160305000139</v>
      </c>
      <c r="H898" s="321">
        <v>1851.93</v>
      </c>
      <c r="I898" s="322">
        <v>46128</v>
      </c>
      <c r="J898" s="323" t="s">
        <v>91</v>
      </c>
      <c r="K898" s="318" t="s">
        <v>80</v>
      </c>
      <c r="L898" s="319">
        <v>46094</v>
      </c>
      <c r="M898" s="318" t="str">
        <f ca="1">IF(Tabela4[[#This Row],[RECOMPRADO]]="RECEBIDO","LIQUIDADO",IF(O898="LIQUIDADO","LIQUIDADO",IF(I898&lt;$I$5,"VENCIDO","A VENCER")))</f>
        <v>A VENCER</v>
      </c>
      <c r="N898" s="324">
        <f ca="1">IF(Tabela4[[#This Row],[STATUS]]="LIQUIDADO","",Tabela4[[#This Row],[VCTO]]-$I$5)</f>
        <v>30</v>
      </c>
      <c r="O898" s="318"/>
      <c r="P898" s="319"/>
      <c r="Q898" s="318"/>
      <c r="R898" s="318"/>
      <c r="S898" s="318"/>
      <c r="T898" s="318"/>
      <c r="U898" s="318"/>
      <c r="V898" s="5"/>
    </row>
    <row r="899" spans="1:22">
      <c r="A899" s="318" t="s">
        <v>0</v>
      </c>
      <c r="B899" s="319">
        <v>46092</v>
      </c>
      <c r="C899" s="11" t="s">
        <v>41</v>
      </c>
      <c r="D899" s="318">
        <v>476</v>
      </c>
      <c r="E899" s="35" t="s">
        <v>96</v>
      </c>
      <c r="F899" s="26" t="s">
        <v>616</v>
      </c>
      <c r="G899" s="320">
        <v>50160305000139</v>
      </c>
      <c r="H899" s="317">
        <v>1851.93</v>
      </c>
      <c r="I899" s="322">
        <v>46135</v>
      </c>
      <c r="J899" s="323" t="s">
        <v>91</v>
      </c>
      <c r="K899" s="318" t="s">
        <v>80</v>
      </c>
      <c r="L899" s="319">
        <v>46094</v>
      </c>
      <c r="M899" s="318" t="str">
        <f ca="1">IF(Tabela4[[#This Row],[RECOMPRADO]]="RECEBIDO","LIQUIDADO",IF(O899="LIQUIDADO","LIQUIDADO",IF(I899&lt;$I$5,"VENCIDO","A VENCER")))</f>
        <v>A VENCER</v>
      </c>
      <c r="N899" s="324">
        <f ca="1">IF(Tabela4[[#This Row],[STATUS]]="LIQUIDADO","",Tabela4[[#This Row],[VCTO]]-$I$5)</f>
        <v>37</v>
      </c>
      <c r="O899" s="318"/>
      <c r="P899" s="319"/>
      <c r="Q899" s="318"/>
      <c r="R899" s="318"/>
      <c r="S899" s="318"/>
      <c r="T899" s="318"/>
      <c r="U899" s="318"/>
      <c r="V899" s="5"/>
    </row>
    <row r="900" spans="1:22">
      <c r="A900" s="318" t="s">
        <v>0</v>
      </c>
      <c r="B900" s="319">
        <v>46092</v>
      </c>
      <c r="C900" s="11" t="s">
        <v>41</v>
      </c>
      <c r="D900" s="318">
        <v>473</v>
      </c>
      <c r="E900" s="35" t="s">
        <v>92</v>
      </c>
      <c r="F900" s="26" t="s">
        <v>589</v>
      </c>
      <c r="G900" s="320">
        <v>1134726000180</v>
      </c>
      <c r="H900" s="321">
        <v>2509.92</v>
      </c>
      <c r="I900" s="322">
        <v>46121</v>
      </c>
      <c r="J900" s="323" t="s">
        <v>91</v>
      </c>
      <c r="K900" s="318" t="s">
        <v>72</v>
      </c>
      <c r="L900" s="11">
        <v>46097</v>
      </c>
      <c r="M900" s="318" t="str">
        <f ca="1">IF(Tabela4[[#This Row],[RECOMPRADO]]="RECEBIDO","LIQUIDADO",IF(O900="LIQUIDADO","LIQUIDADO",IF(I900&lt;$I$5,"VENCIDO","A VENCER")))</f>
        <v>A VENCER</v>
      </c>
      <c r="N900" s="324">
        <f ca="1">IF(Tabela4[[#This Row],[STATUS]]="LIQUIDADO","",Tabela4[[#This Row],[VCTO]]-$I$5)</f>
        <v>23</v>
      </c>
      <c r="O900" s="318"/>
      <c r="P900" s="319"/>
      <c r="Q900" s="318"/>
      <c r="R900" s="318"/>
      <c r="S900" s="318"/>
      <c r="T900" s="11" t="s">
        <v>388</v>
      </c>
      <c r="U900" s="11"/>
      <c r="V900" s="6" t="s">
        <v>635</v>
      </c>
    </row>
    <row r="901" spans="1:22">
      <c r="A901" s="318" t="s">
        <v>0</v>
      </c>
      <c r="B901" s="319">
        <v>46092</v>
      </c>
      <c r="C901" s="11" t="s">
        <v>41</v>
      </c>
      <c r="D901" s="318">
        <v>473</v>
      </c>
      <c r="E901" s="35" t="s">
        <v>95</v>
      </c>
      <c r="F901" s="26" t="s">
        <v>589</v>
      </c>
      <c r="G901" s="320">
        <v>1134726000180</v>
      </c>
      <c r="H901" s="321">
        <v>1512</v>
      </c>
      <c r="I901" s="322">
        <v>46128</v>
      </c>
      <c r="J901" s="323" t="s">
        <v>91</v>
      </c>
      <c r="K901" s="318" t="s">
        <v>72</v>
      </c>
      <c r="L901" s="11">
        <v>46097</v>
      </c>
      <c r="M901" s="318" t="str">
        <f ca="1">IF(Tabela4[[#This Row],[RECOMPRADO]]="RECEBIDO","LIQUIDADO",IF(O901="LIQUIDADO","LIQUIDADO",IF(I901&lt;$I$5,"VENCIDO","A VENCER")))</f>
        <v>A VENCER</v>
      </c>
      <c r="N901" s="324">
        <f ca="1">IF(Tabela4[[#This Row],[STATUS]]="LIQUIDADO","",Tabela4[[#This Row],[VCTO]]-$I$5)</f>
        <v>30</v>
      </c>
      <c r="O901" s="318"/>
      <c r="P901" s="319"/>
      <c r="Q901" s="318"/>
      <c r="R901" s="318"/>
      <c r="S901" s="318"/>
      <c r="T901" s="11" t="s">
        <v>388</v>
      </c>
      <c r="U901" s="11"/>
      <c r="V901" s="6" t="s">
        <v>635</v>
      </c>
    </row>
    <row r="902" spans="1:22">
      <c r="A902" s="318" t="s">
        <v>0</v>
      </c>
      <c r="B902" s="319">
        <v>46092</v>
      </c>
      <c r="C902" s="11" t="s">
        <v>41</v>
      </c>
      <c r="D902" s="318">
        <v>473</v>
      </c>
      <c r="E902" s="35" t="s">
        <v>96</v>
      </c>
      <c r="F902" s="26" t="s">
        <v>589</v>
      </c>
      <c r="G902" s="320">
        <v>1134726000180</v>
      </c>
      <c r="H902" s="321">
        <v>1512</v>
      </c>
      <c r="I902" s="322">
        <v>46135</v>
      </c>
      <c r="J902" s="323" t="s">
        <v>91</v>
      </c>
      <c r="K902" s="318" t="s">
        <v>72</v>
      </c>
      <c r="L902" s="11">
        <v>46097</v>
      </c>
      <c r="M902" s="318" t="str">
        <f ca="1">IF(Tabela4[[#This Row],[RECOMPRADO]]="RECEBIDO","LIQUIDADO",IF(O902="LIQUIDADO","LIQUIDADO",IF(I902&lt;$I$5,"VENCIDO","A VENCER")))</f>
        <v>A VENCER</v>
      </c>
      <c r="N902" s="324">
        <f ca="1">IF(Tabela4[[#This Row],[STATUS]]="LIQUIDADO","",Tabela4[[#This Row],[VCTO]]-$I$5)</f>
        <v>37</v>
      </c>
      <c r="O902" s="318"/>
      <c r="P902" s="319"/>
      <c r="Q902" s="318"/>
      <c r="R902" s="318"/>
      <c r="S902" s="318"/>
      <c r="T902" s="11" t="s">
        <v>388</v>
      </c>
      <c r="U902" s="11"/>
      <c r="V902" s="6" t="s">
        <v>635</v>
      </c>
    </row>
    <row r="903" spans="1:22">
      <c r="A903" s="318" t="s">
        <v>0</v>
      </c>
      <c r="B903" s="319">
        <v>46092</v>
      </c>
      <c r="C903" s="11" t="s">
        <v>41</v>
      </c>
      <c r="D903" s="318">
        <v>473</v>
      </c>
      <c r="E903" s="35" t="s">
        <v>97</v>
      </c>
      <c r="F903" s="26" t="s">
        <v>589</v>
      </c>
      <c r="G903" s="320">
        <v>1134726000180</v>
      </c>
      <c r="H903" s="321">
        <v>1512</v>
      </c>
      <c r="I903" s="322">
        <v>46142</v>
      </c>
      <c r="J903" s="323" t="s">
        <v>91</v>
      </c>
      <c r="K903" s="318" t="s">
        <v>72</v>
      </c>
      <c r="L903" s="11">
        <v>46097</v>
      </c>
      <c r="M903" s="318" t="str">
        <f ca="1">IF(Tabela4[[#This Row],[RECOMPRADO]]="RECEBIDO","LIQUIDADO",IF(O903="LIQUIDADO","LIQUIDADO",IF(I903&lt;$I$5,"VENCIDO","A VENCER")))</f>
        <v>A VENCER</v>
      </c>
      <c r="N903" s="324">
        <f ca="1">IF(Tabela4[[#This Row],[STATUS]]="LIQUIDADO","",Tabela4[[#This Row],[VCTO]]-$I$5)</f>
        <v>44</v>
      </c>
      <c r="O903" s="318"/>
      <c r="P903" s="319"/>
      <c r="Q903" s="318"/>
      <c r="R903" s="318"/>
      <c r="S903" s="318"/>
      <c r="T903" s="11" t="s">
        <v>388</v>
      </c>
      <c r="U903" s="11"/>
      <c r="V903" s="6" t="s">
        <v>635</v>
      </c>
    </row>
    <row r="904" spans="1:22">
      <c r="A904" s="318" t="s">
        <v>0</v>
      </c>
      <c r="B904" s="319">
        <v>46092</v>
      </c>
      <c r="C904" s="11" t="s">
        <v>41</v>
      </c>
      <c r="D904" s="318">
        <v>473</v>
      </c>
      <c r="E904" s="35" t="s">
        <v>98</v>
      </c>
      <c r="F904" s="26" t="s">
        <v>589</v>
      </c>
      <c r="G904" s="320">
        <v>1134726000180</v>
      </c>
      <c r="H904" s="321">
        <v>1512</v>
      </c>
      <c r="I904" s="322">
        <v>46149</v>
      </c>
      <c r="J904" s="323" t="s">
        <v>91</v>
      </c>
      <c r="K904" s="318" t="s">
        <v>72</v>
      </c>
      <c r="L904" s="11">
        <v>46097</v>
      </c>
      <c r="M904" s="318" t="str">
        <f ca="1">IF(Tabela4[[#This Row],[RECOMPRADO]]="RECEBIDO","LIQUIDADO",IF(O904="LIQUIDADO","LIQUIDADO",IF(I904&lt;$I$5,"VENCIDO","A VENCER")))</f>
        <v>A VENCER</v>
      </c>
      <c r="N904" s="324">
        <f ca="1">IF(Tabela4[[#This Row],[STATUS]]="LIQUIDADO","",Tabela4[[#This Row],[VCTO]]-$I$5)</f>
        <v>51</v>
      </c>
      <c r="O904" s="318"/>
      <c r="P904" s="319"/>
      <c r="Q904" s="318"/>
      <c r="R904" s="318"/>
      <c r="S904" s="318"/>
      <c r="T904" s="11" t="s">
        <v>388</v>
      </c>
      <c r="U904" s="11"/>
      <c r="V904" s="6" t="s">
        <v>635</v>
      </c>
    </row>
    <row r="905" spans="1:22">
      <c r="A905" s="318" t="s">
        <v>0</v>
      </c>
      <c r="B905" s="319">
        <v>46092</v>
      </c>
      <c r="C905" s="11" t="s">
        <v>41</v>
      </c>
      <c r="D905" s="318">
        <v>472</v>
      </c>
      <c r="E905" s="35" t="s">
        <v>92</v>
      </c>
      <c r="F905" s="26" t="s">
        <v>278</v>
      </c>
      <c r="G905" s="320">
        <v>22258422000102</v>
      </c>
      <c r="H905" s="321">
        <v>2158.33</v>
      </c>
      <c r="I905" s="322">
        <v>46121</v>
      </c>
      <c r="J905" s="323" t="s">
        <v>91</v>
      </c>
      <c r="K905" s="318" t="s">
        <v>80</v>
      </c>
      <c r="L905" s="319">
        <v>46094</v>
      </c>
      <c r="M905" s="318" t="str">
        <f ca="1">IF(Tabela4[[#This Row],[RECOMPRADO]]="RECEBIDO","LIQUIDADO",IF(O905="LIQUIDADO","LIQUIDADO",IF(I905&lt;$I$5,"VENCIDO","A VENCER")))</f>
        <v>A VENCER</v>
      </c>
      <c r="N905" s="324">
        <f ca="1">IF(Tabela4[[#This Row],[STATUS]]="LIQUIDADO","",Tabela4[[#This Row],[VCTO]]-$I$5)</f>
        <v>23</v>
      </c>
      <c r="O905" s="318"/>
      <c r="P905" s="319"/>
      <c r="Q905" s="318"/>
      <c r="R905" s="318"/>
      <c r="S905" s="318"/>
      <c r="T905" s="26" t="s">
        <v>393</v>
      </c>
      <c r="U905" s="318"/>
      <c r="V905" s="5"/>
    </row>
    <row r="906" spans="1:22">
      <c r="A906" s="318" t="s">
        <v>0</v>
      </c>
      <c r="B906" s="319">
        <v>46092</v>
      </c>
      <c r="C906" s="11" t="s">
        <v>41</v>
      </c>
      <c r="D906" s="318">
        <v>472</v>
      </c>
      <c r="E906" s="35" t="s">
        <v>95</v>
      </c>
      <c r="F906" s="26" t="s">
        <v>278</v>
      </c>
      <c r="G906" s="320">
        <v>22258422000102</v>
      </c>
      <c r="H906" s="321">
        <v>1545.66</v>
      </c>
      <c r="I906" s="322">
        <v>46128</v>
      </c>
      <c r="J906" s="323" t="s">
        <v>91</v>
      </c>
      <c r="K906" s="318" t="s">
        <v>80</v>
      </c>
      <c r="L906" s="319">
        <v>46094</v>
      </c>
      <c r="M906" s="318" t="str">
        <f ca="1">IF(Tabela4[[#This Row],[RECOMPRADO]]="RECEBIDO","LIQUIDADO",IF(O906="LIQUIDADO","LIQUIDADO",IF(I906&lt;$I$5,"VENCIDO","A VENCER")))</f>
        <v>A VENCER</v>
      </c>
      <c r="N906" s="324">
        <f ca="1">IF(Tabela4[[#This Row],[STATUS]]="LIQUIDADO","",Tabela4[[#This Row],[VCTO]]-$I$5)</f>
        <v>30</v>
      </c>
      <c r="O906" s="318"/>
      <c r="P906" s="319"/>
      <c r="Q906" s="318"/>
      <c r="R906" s="318"/>
      <c r="S906" s="318"/>
      <c r="T906" s="26" t="s">
        <v>393</v>
      </c>
      <c r="U906" s="318"/>
      <c r="V906" s="5"/>
    </row>
    <row r="907" spans="1:22">
      <c r="A907" s="318" t="s">
        <v>0</v>
      </c>
      <c r="B907" s="319">
        <v>46092</v>
      </c>
      <c r="C907" s="11" t="s">
        <v>41</v>
      </c>
      <c r="D907" s="318">
        <v>472</v>
      </c>
      <c r="E907" s="35" t="s">
        <v>96</v>
      </c>
      <c r="F907" s="26" t="s">
        <v>278</v>
      </c>
      <c r="G907" s="320">
        <v>22258422000102</v>
      </c>
      <c r="H907" s="321">
        <v>1545.66</v>
      </c>
      <c r="I907" s="322">
        <v>46135</v>
      </c>
      <c r="J907" s="323" t="s">
        <v>91</v>
      </c>
      <c r="K907" s="318" t="s">
        <v>80</v>
      </c>
      <c r="L907" s="319">
        <v>46094</v>
      </c>
      <c r="M907" s="318" t="str">
        <f ca="1">IF(Tabela4[[#This Row],[RECOMPRADO]]="RECEBIDO","LIQUIDADO",IF(O907="LIQUIDADO","LIQUIDADO",IF(I907&lt;$I$5,"VENCIDO","A VENCER")))</f>
        <v>A VENCER</v>
      </c>
      <c r="N907" s="324">
        <f ca="1">IF(Tabela4[[#This Row],[STATUS]]="LIQUIDADO","",Tabela4[[#This Row],[VCTO]]-$I$5)</f>
        <v>37</v>
      </c>
      <c r="O907" s="318"/>
      <c r="P907" s="319"/>
      <c r="Q907" s="318"/>
      <c r="R907" s="318"/>
      <c r="S907" s="318"/>
      <c r="T907" s="26" t="s">
        <v>393</v>
      </c>
      <c r="U907" s="318"/>
      <c r="V907" s="5"/>
    </row>
    <row r="908" spans="1:22">
      <c r="A908" s="318" t="s">
        <v>0</v>
      </c>
      <c r="B908" s="319">
        <v>46092</v>
      </c>
      <c r="C908" s="11" t="s">
        <v>41</v>
      </c>
      <c r="D908" s="318">
        <v>471</v>
      </c>
      <c r="E908" s="35" t="s">
        <v>92</v>
      </c>
      <c r="F908" s="26" t="s">
        <v>267</v>
      </c>
      <c r="G908" s="320">
        <v>20891953000102</v>
      </c>
      <c r="H908" s="321">
        <v>2082</v>
      </c>
      <c r="I908" s="322">
        <v>46137</v>
      </c>
      <c r="J908" s="323" t="s">
        <v>91</v>
      </c>
      <c r="K908" s="318" t="s">
        <v>80</v>
      </c>
      <c r="L908" s="319">
        <v>46094</v>
      </c>
      <c r="M908" s="318" t="str">
        <f ca="1">IF(Tabela4[[#This Row],[RECOMPRADO]]="RECEBIDO","LIQUIDADO",IF(O908="LIQUIDADO","LIQUIDADO",IF(I908&lt;$I$5,"VENCIDO","A VENCER")))</f>
        <v>A VENCER</v>
      </c>
      <c r="N908" s="324">
        <f ca="1">IF(Tabela4[[#This Row],[STATUS]]="LIQUIDADO","",Tabela4[[#This Row],[VCTO]]-$I$5)</f>
        <v>39</v>
      </c>
      <c r="O908" s="318"/>
      <c r="P908" s="319"/>
      <c r="Q908" s="318"/>
      <c r="R908" s="318"/>
      <c r="S908" s="318"/>
      <c r="T908" s="318"/>
      <c r="U908" s="318"/>
      <c r="V908" s="5"/>
    </row>
    <row r="909" spans="1:22">
      <c r="A909" s="318" t="s">
        <v>0</v>
      </c>
      <c r="B909" s="319">
        <v>46092</v>
      </c>
      <c r="C909" s="11" t="s">
        <v>41</v>
      </c>
      <c r="D909" s="318">
        <v>477</v>
      </c>
      <c r="E909" s="35" t="s">
        <v>92</v>
      </c>
      <c r="F909" s="26" t="s">
        <v>617</v>
      </c>
      <c r="G909" s="320">
        <v>53913963000142</v>
      </c>
      <c r="H909" s="321">
        <v>1878</v>
      </c>
      <c r="I909" s="322">
        <v>46121</v>
      </c>
      <c r="J909" s="323" t="s">
        <v>91</v>
      </c>
      <c r="K909" s="318" t="s">
        <v>381</v>
      </c>
      <c r="L909" s="319">
        <v>46094</v>
      </c>
      <c r="M909" s="318" t="str">
        <f ca="1">IF(Tabela4[[#This Row],[RECOMPRADO]]="RECEBIDO","LIQUIDADO",IF(O909="LIQUIDADO","LIQUIDADO",IF(I909&lt;$I$5,"VENCIDO","A VENCER")))</f>
        <v>A VENCER</v>
      </c>
      <c r="N909" s="324">
        <f ca="1">IF(Tabela4[[#This Row],[STATUS]]="LIQUIDADO","",Tabela4[[#This Row],[VCTO]]-$I$5)</f>
        <v>23</v>
      </c>
      <c r="O909" s="318"/>
      <c r="P909" s="319"/>
      <c r="Q909" s="318"/>
      <c r="R909" s="318"/>
      <c r="S909" s="318"/>
      <c r="T909" s="318"/>
      <c r="U909" s="318"/>
      <c r="V909" s="5"/>
    </row>
    <row r="910" spans="1:22">
      <c r="A910" s="318" t="s">
        <v>0</v>
      </c>
      <c r="B910" s="319">
        <v>46092</v>
      </c>
      <c r="C910" s="11" t="s">
        <v>41</v>
      </c>
      <c r="D910" s="318">
        <v>477</v>
      </c>
      <c r="E910" s="35" t="s">
        <v>95</v>
      </c>
      <c r="F910" s="26" t="s">
        <v>617</v>
      </c>
      <c r="G910" s="320">
        <v>53913963000142</v>
      </c>
      <c r="H910" s="321">
        <v>1368.12</v>
      </c>
      <c r="I910" s="322">
        <v>46128</v>
      </c>
      <c r="J910" s="323" t="s">
        <v>91</v>
      </c>
      <c r="K910" s="318" t="s">
        <v>381</v>
      </c>
      <c r="L910" s="319">
        <v>46094</v>
      </c>
      <c r="M910" s="318" t="str">
        <f ca="1">IF(Tabela4[[#This Row],[RECOMPRADO]]="RECEBIDO","LIQUIDADO",IF(O910="LIQUIDADO","LIQUIDADO",IF(I910&lt;$I$5,"VENCIDO","A VENCER")))</f>
        <v>A VENCER</v>
      </c>
      <c r="N910" s="324">
        <f ca="1">IF(Tabela4[[#This Row],[STATUS]]="LIQUIDADO","",Tabela4[[#This Row],[VCTO]]-$I$5)</f>
        <v>30</v>
      </c>
      <c r="O910" s="318"/>
      <c r="P910" s="319"/>
      <c r="Q910" s="318"/>
      <c r="R910" s="318"/>
      <c r="S910" s="318"/>
      <c r="T910" s="318"/>
      <c r="U910" s="318"/>
      <c r="V910" s="5"/>
    </row>
    <row r="911" spans="1:22">
      <c r="A911" s="318" t="s">
        <v>0</v>
      </c>
      <c r="B911" s="319">
        <v>46092</v>
      </c>
      <c r="C911" s="11" t="s">
        <v>41</v>
      </c>
      <c r="D911" s="318">
        <v>477</v>
      </c>
      <c r="E911" s="35" t="s">
        <v>96</v>
      </c>
      <c r="F911" s="26" t="s">
        <v>617</v>
      </c>
      <c r="G911" s="320">
        <v>53913963000142</v>
      </c>
      <c r="H911" s="321">
        <v>1368.12</v>
      </c>
      <c r="I911" s="322">
        <v>46135</v>
      </c>
      <c r="J911" s="323" t="s">
        <v>91</v>
      </c>
      <c r="K911" s="318" t="s">
        <v>381</v>
      </c>
      <c r="L911" s="319">
        <v>46094</v>
      </c>
      <c r="M911" s="318" t="str">
        <f ca="1">IF(Tabela4[[#This Row],[RECOMPRADO]]="RECEBIDO","LIQUIDADO",IF(O911="LIQUIDADO","LIQUIDADO",IF(I911&lt;$I$5,"VENCIDO","A VENCER")))</f>
        <v>A VENCER</v>
      </c>
      <c r="N911" s="324">
        <f ca="1">IF(Tabela4[[#This Row],[STATUS]]="LIQUIDADO","",Tabela4[[#This Row],[VCTO]]-$I$5)</f>
        <v>37</v>
      </c>
      <c r="O911" s="318"/>
      <c r="P911" s="319"/>
      <c r="Q911" s="318"/>
      <c r="R911" s="318"/>
      <c r="S911" s="318"/>
      <c r="T911" s="318"/>
      <c r="U911" s="318"/>
      <c r="V911" s="5"/>
    </row>
    <row r="912" spans="1:22">
      <c r="A912" s="318" t="s">
        <v>0</v>
      </c>
      <c r="B912" s="319">
        <v>46092</v>
      </c>
      <c r="C912" s="11" t="s">
        <v>41</v>
      </c>
      <c r="D912" s="318">
        <v>477</v>
      </c>
      <c r="E912" s="35" t="s">
        <v>97</v>
      </c>
      <c r="F912" s="26" t="s">
        <v>617</v>
      </c>
      <c r="G912" s="320">
        <v>53913963000142</v>
      </c>
      <c r="H912" s="321">
        <v>1368.13</v>
      </c>
      <c r="I912" s="322">
        <v>46142</v>
      </c>
      <c r="J912" s="323" t="s">
        <v>91</v>
      </c>
      <c r="K912" s="318" t="s">
        <v>381</v>
      </c>
      <c r="L912" s="319">
        <v>46094</v>
      </c>
      <c r="M912" s="318" t="str">
        <f ca="1">IF(Tabela4[[#This Row],[RECOMPRADO]]="RECEBIDO","LIQUIDADO",IF(O912="LIQUIDADO","LIQUIDADO",IF(I912&lt;$I$5,"VENCIDO","A VENCER")))</f>
        <v>A VENCER</v>
      </c>
      <c r="N912" s="324">
        <f ca="1">IF(Tabela4[[#This Row],[STATUS]]="LIQUIDADO","",Tabela4[[#This Row],[VCTO]]-$I$5)</f>
        <v>44</v>
      </c>
      <c r="O912" s="318"/>
      <c r="P912" s="319"/>
      <c r="Q912" s="318"/>
      <c r="R912" s="318"/>
      <c r="S912" s="318"/>
      <c r="T912" s="318"/>
      <c r="U912" s="318"/>
      <c r="V912" s="5"/>
    </row>
    <row r="913" spans="1:22">
      <c r="A913" s="26" t="s">
        <v>108</v>
      </c>
      <c r="B913" s="11">
        <v>46093</v>
      </c>
      <c r="C913" s="351" t="s">
        <v>41</v>
      </c>
      <c r="D913" s="26">
        <v>732</v>
      </c>
      <c r="E913" s="35" t="s">
        <v>92</v>
      </c>
      <c r="F913" s="5" t="s">
        <v>400</v>
      </c>
      <c r="G913" s="215">
        <v>68192475000160</v>
      </c>
      <c r="H913" s="39">
        <v>196219.29</v>
      </c>
      <c r="I913" s="216">
        <v>46123</v>
      </c>
      <c r="J913" s="36" t="s">
        <v>91</v>
      </c>
      <c r="K913" s="26" t="s">
        <v>76</v>
      </c>
      <c r="L913" s="11">
        <v>46093</v>
      </c>
      <c r="M913" s="352" t="str">
        <f ca="1">IF(Tabela4[[#This Row],[RECOMPRADO]]="RECEBIDO","LIQUIDADO",IF(O913="LIQUIDADO","LIQUIDADO",IF(I913&lt;$I$5,"VENCIDO","A VENCER")))</f>
        <v>A VENCER</v>
      </c>
      <c r="N913" s="212">
        <f ca="1">IF(Tabela4[[#This Row],[STATUS]]="LIQUIDADO","",Tabela4[[#This Row],[VCTO]]-$I$5)</f>
        <v>25</v>
      </c>
      <c r="O913" s="26"/>
      <c r="P913" s="11"/>
      <c r="Q913" s="26"/>
      <c r="R913" s="26"/>
      <c r="S913" s="26"/>
      <c r="T913" s="26" t="s">
        <v>620</v>
      </c>
      <c r="U913" s="26"/>
      <c r="V913" s="5" t="s">
        <v>569</v>
      </c>
    </row>
    <row r="914" spans="1:22">
      <c r="A914" s="5" t="s">
        <v>0</v>
      </c>
      <c r="B914" s="6">
        <v>46092</v>
      </c>
      <c r="C914" s="349" t="s">
        <v>43</v>
      </c>
      <c r="D914" s="5">
        <v>477</v>
      </c>
      <c r="E914" s="10" t="s">
        <v>92</v>
      </c>
      <c r="F914" s="26" t="s">
        <v>617</v>
      </c>
      <c r="G914" s="320">
        <v>53913963000142</v>
      </c>
      <c r="H914" s="38">
        <v>1368.12</v>
      </c>
      <c r="I914" s="322">
        <v>46121</v>
      </c>
      <c r="J914" s="323" t="s">
        <v>91</v>
      </c>
      <c r="K914" s="318" t="s">
        <v>381</v>
      </c>
      <c r="L914" s="319">
        <v>46094</v>
      </c>
      <c r="M914" s="350" t="str">
        <f ca="1">IF(Tabela4[[#This Row],[RECOMPRADO]]="RECEBIDO","LIQUIDADO",IF(O914="LIQUIDADO","LIQUIDADO",IF(I914&lt;$I$5,"VENCIDO","A VENCER")))</f>
        <v>A VENCER</v>
      </c>
      <c r="N914" s="211">
        <f ca="1">IF(Tabela4[[#This Row],[STATUS]]="LIQUIDADO","",Tabela4[[#This Row],[VCTO]]-$I$5)</f>
        <v>23</v>
      </c>
      <c r="O914" s="5"/>
      <c r="P914" s="6"/>
      <c r="Q914" s="5"/>
      <c r="R914" s="5"/>
      <c r="S914" s="5"/>
      <c r="T914" s="5"/>
      <c r="U914" s="5"/>
      <c r="V914" s="5"/>
    </row>
    <row r="915" spans="1:22">
      <c r="A915" s="5" t="s">
        <v>0</v>
      </c>
      <c r="B915" s="6">
        <v>46092</v>
      </c>
      <c r="C915" s="349" t="s">
        <v>43</v>
      </c>
      <c r="D915" s="5">
        <v>477</v>
      </c>
      <c r="E915" s="10" t="s">
        <v>95</v>
      </c>
      <c r="F915" s="26" t="s">
        <v>617</v>
      </c>
      <c r="G915" s="320">
        <v>53913963000142</v>
      </c>
      <c r="H915" s="38">
        <v>1368.12</v>
      </c>
      <c r="I915" s="322">
        <v>46128</v>
      </c>
      <c r="J915" s="323" t="s">
        <v>91</v>
      </c>
      <c r="K915" s="318" t="s">
        <v>381</v>
      </c>
      <c r="L915" s="319">
        <v>46094</v>
      </c>
      <c r="M915" s="350" t="str">
        <f ca="1">IF(Tabela4[[#This Row],[RECOMPRADO]]="RECEBIDO","LIQUIDADO",IF(O915="LIQUIDADO","LIQUIDADO",IF(I915&lt;$I$5,"VENCIDO","A VENCER")))</f>
        <v>A VENCER</v>
      </c>
      <c r="N915" s="211">
        <f ca="1">IF(Tabela4[[#This Row],[STATUS]]="LIQUIDADO","",Tabela4[[#This Row],[VCTO]]-$I$5)</f>
        <v>30</v>
      </c>
      <c r="O915" s="5"/>
      <c r="P915" s="6"/>
      <c r="Q915" s="5"/>
      <c r="R915" s="5"/>
      <c r="S915" s="5"/>
      <c r="T915" s="5"/>
      <c r="U915" s="5"/>
      <c r="V915" s="5"/>
    </row>
    <row r="916" spans="1:22">
      <c r="A916" s="5" t="s">
        <v>0</v>
      </c>
      <c r="B916" s="6">
        <v>46092</v>
      </c>
      <c r="C916" s="349" t="s">
        <v>43</v>
      </c>
      <c r="D916" s="5">
        <v>477</v>
      </c>
      <c r="E916" s="10" t="s">
        <v>96</v>
      </c>
      <c r="F916" s="26" t="s">
        <v>617</v>
      </c>
      <c r="G916" s="320">
        <v>53913963000142</v>
      </c>
      <c r="H916" s="38">
        <v>1368.12</v>
      </c>
      <c r="I916" s="322">
        <v>46135</v>
      </c>
      <c r="J916" s="323" t="s">
        <v>91</v>
      </c>
      <c r="K916" s="318" t="s">
        <v>381</v>
      </c>
      <c r="L916" s="319">
        <v>46094</v>
      </c>
      <c r="M916" s="350" t="str">
        <f ca="1">IF(Tabela4[[#This Row],[RECOMPRADO]]="RECEBIDO","LIQUIDADO",IF(O916="LIQUIDADO","LIQUIDADO",IF(I916&lt;$I$5,"VENCIDO","A VENCER")))</f>
        <v>A VENCER</v>
      </c>
      <c r="N916" s="211">
        <f ca="1">IF(Tabela4[[#This Row],[STATUS]]="LIQUIDADO","",Tabela4[[#This Row],[VCTO]]-$I$5)</f>
        <v>37</v>
      </c>
      <c r="O916" s="5"/>
      <c r="P916" s="6"/>
      <c r="Q916" s="5"/>
      <c r="R916" s="5"/>
      <c r="S916" s="5"/>
      <c r="T916" s="5"/>
      <c r="U916" s="5"/>
      <c r="V916" s="5"/>
    </row>
    <row r="917" spans="1:22">
      <c r="A917" s="26" t="s">
        <v>0</v>
      </c>
      <c r="B917" s="11">
        <v>46092</v>
      </c>
      <c r="C917" s="351" t="s">
        <v>43</v>
      </c>
      <c r="D917" s="26">
        <v>477</v>
      </c>
      <c r="E917" s="35" t="s">
        <v>97</v>
      </c>
      <c r="F917" s="26" t="s">
        <v>617</v>
      </c>
      <c r="G917" s="320">
        <v>53913963000142</v>
      </c>
      <c r="H917" s="38">
        <v>1368.12</v>
      </c>
      <c r="I917" s="322">
        <v>46142</v>
      </c>
      <c r="J917" s="323" t="s">
        <v>91</v>
      </c>
      <c r="K917" s="318" t="s">
        <v>381</v>
      </c>
      <c r="L917" s="319">
        <v>46094</v>
      </c>
      <c r="M917" s="352" t="str">
        <f ca="1">IF(Tabela4[[#This Row],[RECOMPRADO]]="RECEBIDO","LIQUIDADO",IF(O917="LIQUIDADO","LIQUIDADO",IF(I917&lt;$I$5,"VENCIDO","A VENCER")))</f>
        <v>A VENCER</v>
      </c>
      <c r="N917" s="212">
        <f ca="1">IF(Tabela4[[#This Row],[STATUS]]="LIQUIDADO","",Tabela4[[#This Row],[VCTO]]-$I$5)</f>
        <v>44</v>
      </c>
      <c r="O917" s="26"/>
      <c r="P917" s="11"/>
      <c r="Q917" s="26"/>
      <c r="R917" s="26"/>
      <c r="S917" s="26"/>
      <c r="T917" s="26"/>
      <c r="U917" s="26"/>
      <c r="V917" s="5"/>
    </row>
    <row r="918" spans="1:22">
      <c r="A918" s="26" t="s">
        <v>0</v>
      </c>
      <c r="B918" s="11">
        <v>46093</v>
      </c>
      <c r="C918" s="351" t="s">
        <v>41</v>
      </c>
      <c r="D918" s="26">
        <v>482</v>
      </c>
      <c r="E918" s="35" t="s">
        <v>92</v>
      </c>
      <c r="F918" s="26" t="s">
        <v>280</v>
      </c>
      <c r="G918" s="215">
        <v>72025093000130</v>
      </c>
      <c r="H918" s="39">
        <v>7750</v>
      </c>
      <c r="I918" s="216">
        <v>46124</v>
      </c>
      <c r="J918" s="323" t="s">
        <v>91</v>
      </c>
      <c r="K918" s="26" t="s">
        <v>80</v>
      </c>
      <c r="L918" s="319">
        <v>46094</v>
      </c>
      <c r="M918" s="352" t="str">
        <f ca="1">IF(Tabela4[[#This Row],[RECOMPRADO]]="RECEBIDO","LIQUIDADO",IF(O918="LIQUIDADO","LIQUIDADO",IF(I918&lt;$I$5,"VENCIDO","A VENCER")))</f>
        <v>A VENCER</v>
      </c>
      <c r="N918" s="212">
        <f ca="1">IF(Tabela4[[#This Row],[STATUS]]="LIQUIDADO","",Tabela4[[#This Row],[VCTO]]-$I$5)</f>
        <v>26</v>
      </c>
      <c r="O918" s="26"/>
      <c r="P918" s="11"/>
      <c r="Q918" s="26"/>
      <c r="R918" s="26"/>
      <c r="S918" s="26"/>
      <c r="T918" s="26" t="s">
        <v>622</v>
      </c>
      <c r="U918" s="26"/>
      <c r="V918" s="5"/>
    </row>
    <row r="919" spans="1:22">
      <c r="A919" s="26" t="s">
        <v>0</v>
      </c>
      <c r="B919" s="11">
        <v>46093</v>
      </c>
      <c r="C919" s="351" t="s">
        <v>41</v>
      </c>
      <c r="D919" s="26">
        <v>482</v>
      </c>
      <c r="E919" s="35" t="s">
        <v>95</v>
      </c>
      <c r="F919" s="26" t="s">
        <v>280</v>
      </c>
      <c r="G919" s="215">
        <v>72025093000130</v>
      </c>
      <c r="H919" s="39">
        <v>7750</v>
      </c>
      <c r="I919" s="216">
        <v>46154</v>
      </c>
      <c r="J919" s="323" t="s">
        <v>91</v>
      </c>
      <c r="K919" s="26" t="s">
        <v>80</v>
      </c>
      <c r="L919" s="319">
        <v>46094</v>
      </c>
      <c r="M919" s="352" t="str">
        <f ca="1">IF(Tabela4[[#This Row],[RECOMPRADO]]="RECEBIDO","LIQUIDADO",IF(O919="LIQUIDADO","LIQUIDADO",IF(I919&lt;$I$5,"VENCIDO","A VENCER")))</f>
        <v>A VENCER</v>
      </c>
      <c r="N919" s="212">
        <f ca="1">IF(Tabela4[[#This Row],[STATUS]]="LIQUIDADO","",Tabela4[[#This Row],[VCTO]]-$I$5)</f>
        <v>56</v>
      </c>
      <c r="O919" s="26"/>
      <c r="P919" s="11"/>
      <c r="Q919" s="26"/>
      <c r="R919" s="26"/>
      <c r="S919" s="26"/>
      <c r="T919" s="26" t="s">
        <v>622</v>
      </c>
      <c r="U919" s="26"/>
      <c r="V919" s="5"/>
    </row>
    <row r="920" spans="1:22">
      <c r="A920" s="26" t="s">
        <v>0</v>
      </c>
      <c r="B920" s="11">
        <v>46093</v>
      </c>
      <c r="C920" s="351" t="s">
        <v>41</v>
      </c>
      <c r="D920" s="26">
        <v>482</v>
      </c>
      <c r="E920" s="35" t="s">
        <v>96</v>
      </c>
      <c r="F920" s="26" t="s">
        <v>280</v>
      </c>
      <c r="G920" s="215">
        <v>72025093000130</v>
      </c>
      <c r="H920" s="39">
        <v>7750</v>
      </c>
      <c r="I920" s="216">
        <v>46184</v>
      </c>
      <c r="J920" s="323" t="s">
        <v>91</v>
      </c>
      <c r="K920" s="26" t="s">
        <v>80</v>
      </c>
      <c r="L920" s="319">
        <v>46094</v>
      </c>
      <c r="M920" s="352" t="str">
        <f ca="1">IF(Tabela4[[#This Row],[RECOMPRADO]]="RECEBIDO","LIQUIDADO",IF(O920="LIQUIDADO","LIQUIDADO",IF(I920&lt;$I$5,"VENCIDO","A VENCER")))</f>
        <v>A VENCER</v>
      </c>
      <c r="N920" s="212">
        <f ca="1">IF(Tabela4[[#This Row],[STATUS]]="LIQUIDADO","",Tabela4[[#This Row],[VCTO]]-$I$5)</f>
        <v>86</v>
      </c>
      <c r="O920" s="26"/>
      <c r="P920" s="11"/>
      <c r="Q920" s="26"/>
      <c r="R920" s="26"/>
      <c r="S920" s="26"/>
      <c r="T920" s="26" t="s">
        <v>622</v>
      </c>
      <c r="U920" s="26"/>
      <c r="V920" s="5"/>
    </row>
    <row r="921" spans="1:22">
      <c r="A921" s="26" t="s">
        <v>0</v>
      </c>
      <c r="B921" s="11">
        <v>46093</v>
      </c>
      <c r="C921" s="351" t="s">
        <v>41</v>
      </c>
      <c r="D921" s="26">
        <v>483</v>
      </c>
      <c r="E921" s="35" t="s">
        <v>92</v>
      </c>
      <c r="F921" s="26" t="s">
        <v>624</v>
      </c>
      <c r="G921" s="215">
        <v>5373141000335</v>
      </c>
      <c r="H921" s="39">
        <v>1470</v>
      </c>
      <c r="I921" s="216">
        <v>46121</v>
      </c>
      <c r="J921" s="323" t="s">
        <v>91</v>
      </c>
      <c r="K921" s="26" t="s">
        <v>80</v>
      </c>
      <c r="L921" s="11">
        <v>46094</v>
      </c>
      <c r="M921" s="352" t="str">
        <f ca="1">IF(Tabela4[[#This Row],[RECOMPRADO]]="RECEBIDO","LIQUIDADO",IF(O921="LIQUIDADO","LIQUIDADO",IF(I921&lt;$I$5,"VENCIDO","A VENCER")))</f>
        <v>A VENCER</v>
      </c>
      <c r="N921" s="212">
        <f ca="1">IF(Tabela4[[#This Row],[STATUS]]="LIQUIDADO","",Tabela4[[#This Row],[VCTO]]-$I$5)</f>
        <v>23</v>
      </c>
      <c r="O921" s="26"/>
      <c r="P921" s="11"/>
      <c r="Q921" s="26"/>
      <c r="R921" s="26"/>
      <c r="S921" s="26"/>
      <c r="T921" s="26"/>
      <c r="U921" s="26" t="s">
        <v>652</v>
      </c>
      <c r="V921" s="5"/>
    </row>
    <row r="922" spans="1:22">
      <c r="A922" s="26" t="s">
        <v>0</v>
      </c>
      <c r="B922" s="11">
        <v>46093</v>
      </c>
      <c r="C922" s="351" t="s">
        <v>41</v>
      </c>
      <c r="D922" s="26">
        <v>483</v>
      </c>
      <c r="E922" s="35" t="s">
        <v>95</v>
      </c>
      <c r="F922" s="26" t="s">
        <v>624</v>
      </c>
      <c r="G922" s="215">
        <v>5373141000335</v>
      </c>
      <c r="H922" s="39">
        <v>1470</v>
      </c>
      <c r="I922" s="216">
        <v>46128</v>
      </c>
      <c r="J922" s="323" t="s">
        <v>91</v>
      </c>
      <c r="K922" s="26" t="s">
        <v>80</v>
      </c>
      <c r="L922" s="11">
        <v>46094</v>
      </c>
      <c r="M922" s="352" t="str">
        <f ca="1">IF(Tabela4[[#This Row],[RECOMPRADO]]="RECEBIDO","LIQUIDADO",IF(O922="LIQUIDADO","LIQUIDADO",IF(I922&lt;$I$5,"VENCIDO","A VENCER")))</f>
        <v>A VENCER</v>
      </c>
      <c r="N922" s="212">
        <f ca="1">IF(Tabela4[[#This Row],[STATUS]]="LIQUIDADO","",Tabela4[[#This Row],[VCTO]]-$I$5)</f>
        <v>30</v>
      </c>
      <c r="O922" s="26"/>
      <c r="P922" s="11"/>
      <c r="Q922" s="26"/>
      <c r="R922" s="26"/>
      <c r="S922" s="26"/>
      <c r="T922" s="26"/>
      <c r="U922" s="26" t="s">
        <v>652</v>
      </c>
      <c r="V922" s="5"/>
    </row>
    <row r="923" spans="1:22">
      <c r="A923" s="26" t="s">
        <v>0</v>
      </c>
      <c r="B923" s="11">
        <v>46093</v>
      </c>
      <c r="C923" s="351" t="s">
        <v>41</v>
      </c>
      <c r="D923" s="26">
        <v>483</v>
      </c>
      <c r="E923" s="35" t="s">
        <v>96</v>
      </c>
      <c r="F923" s="26" t="s">
        <v>624</v>
      </c>
      <c r="G923" s="215">
        <v>5373141000335</v>
      </c>
      <c r="H923" s="39">
        <v>1470</v>
      </c>
      <c r="I923" s="216">
        <v>46135</v>
      </c>
      <c r="J923" s="323" t="s">
        <v>91</v>
      </c>
      <c r="K923" s="26" t="s">
        <v>80</v>
      </c>
      <c r="L923" s="11">
        <v>46094</v>
      </c>
      <c r="M923" s="352" t="str">
        <f ca="1">IF(Tabela4[[#This Row],[RECOMPRADO]]="RECEBIDO","LIQUIDADO",IF(O923="LIQUIDADO","LIQUIDADO",IF(I923&lt;$I$5,"VENCIDO","A VENCER")))</f>
        <v>A VENCER</v>
      </c>
      <c r="N923" s="212">
        <f ca="1">IF(Tabela4[[#This Row],[STATUS]]="LIQUIDADO","",Tabela4[[#This Row],[VCTO]]-$I$5)</f>
        <v>37</v>
      </c>
      <c r="O923" s="26"/>
      <c r="P923" s="11"/>
      <c r="Q923" s="26"/>
      <c r="R923" s="26"/>
      <c r="S923" s="26"/>
      <c r="T923" s="26"/>
      <c r="U923" s="26" t="s">
        <v>652</v>
      </c>
      <c r="V923" s="5"/>
    </row>
    <row r="924" spans="1:22">
      <c r="A924" s="26" t="s">
        <v>0</v>
      </c>
      <c r="B924" s="11">
        <v>46094</v>
      </c>
      <c r="C924" s="351" t="s">
        <v>41</v>
      </c>
      <c r="D924" s="26">
        <v>484</v>
      </c>
      <c r="E924" s="35" t="s">
        <v>92</v>
      </c>
      <c r="F924" s="26" t="s">
        <v>24</v>
      </c>
      <c r="G924" s="215">
        <v>29851606000112</v>
      </c>
      <c r="H924" s="39">
        <v>101250</v>
      </c>
      <c r="I924" s="216">
        <v>46126</v>
      </c>
      <c r="J924" s="36" t="s">
        <v>91</v>
      </c>
      <c r="K924" s="26" t="s">
        <v>80</v>
      </c>
      <c r="L924" s="319">
        <v>46094</v>
      </c>
      <c r="M924" s="352" t="str">
        <f ca="1">IF(Tabela4[[#This Row],[RECOMPRADO]]="RECEBIDO","LIQUIDADO",IF(O924="LIQUIDADO","LIQUIDADO",IF(I924&lt;$I$5,"VENCIDO","A VENCER")))</f>
        <v>A VENCER</v>
      </c>
      <c r="N924" s="212">
        <f ca="1">IF(Tabela4[[#This Row],[STATUS]]="LIQUIDADO","",Tabela4[[#This Row],[VCTO]]-$I$5)</f>
        <v>28</v>
      </c>
      <c r="O924" s="26"/>
      <c r="P924" s="11"/>
      <c r="Q924" s="26"/>
      <c r="R924" s="26"/>
      <c r="S924" s="26"/>
      <c r="T924" s="26" t="s">
        <v>388</v>
      </c>
      <c r="U924" s="26"/>
      <c r="V924" s="6" t="s">
        <v>635</v>
      </c>
    </row>
    <row r="925" spans="1:22">
      <c r="A925" s="26" t="s">
        <v>0</v>
      </c>
      <c r="B925" s="11">
        <v>46093</v>
      </c>
      <c r="C925" s="351" t="s">
        <v>41</v>
      </c>
      <c r="D925" s="26">
        <v>478</v>
      </c>
      <c r="E925" s="35" t="s">
        <v>92</v>
      </c>
      <c r="F925" s="26" t="s">
        <v>542</v>
      </c>
      <c r="G925" s="215">
        <v>59716549000120</v>
      </c>
      <c r="H925" s="39">
        <v>4000</v>
      </c>
      <c r="I925" s="216">
        <v>46093</v>
      </c>
      <c r="J925" s="36" t="s">
        <v>125</v>
      </c>
      <c r="K925" s="26" t="s">
        <v>0</v>
      </c>
      <c r="L925" s="11"/>
      <c r="M925" s="352" t="str">
        <f ca="1">IF(Tabela4[[#This Row],[RECOMPRADO]]="RECEBIDO","LIQUIDADO",IF(O925="LIQUIDADO","LIQUIDADO",IF(I925&lt;$I$5,"VENCIDO","A VENCER")))</f>
        <v>VENCIDO</v>
      </c>
      <c r="N925" s="212">
        <f ca="1">IF(Tabela4[[#This Row],[STATUS]]="LIQUIDADO","",Tabela4[[#This Row],[VCTO]]-$I$5)</f>
        <v>-5</v>
      </c>
      <c r="O925" s="26"/>
      <c r="P925" s="11"/>
      <c r="Q925" s="26"/>
      <c r="R925" s="26"/>
      <c r="S925" s="26"/>
      <c r="T925" s="26" t="s">
        <v>631</v>
      </c>
      <c r="U925" s="26"/>
      <c r="V925" s="5"/>
    </row>
    <row r="926" spans="1:22">
      <c r="A926" s="26" t="s">
        <v>0</v>
      </c>
      <c r="B926" s="11">
        <v>46093</v>
      </c>
      <c r="C926" s="351" t="s">
        <v>43</v>
      </c>
      <c r="D926" s="26">
        <v>478</v>
      </c>
      <c r="E926" s="35" t="s">
        <v>92</v>
      </c>
      <c r="F926" s="26" t="s">
        <v>542</v>
      </c>
      <c r="G926" s="215">
        <v>59716549000120</v>
      </c>
      <c r="H926" s="39">
        <v>40000</v>
      </c>
      <c r="I926" s="216">
        <v>46093</v>
      </c>
      <c r="J926" s="36" t="s">
        <v>125</v>
      </c>
      <c r="K926" s="26" t="s">
        <v>0</v>
      </c>
      <c r="L926" s="11"/>
      <c r="M926" s="352" t="str">
        <f ca="1">IF(Tabela4[[#This Row],[RECOMPRADO]]="RECEBIDO","LIQUIDADO",IF(O926="LIQUIDADO","LIQUIDADO",IF(I926&lt;$I$5,"VENCIDO","A VENCER")))</f>
        <v>VENCIDO</v>
      </c>
      <c r="N926" s="212">
        <f ca="1">IF(Tabela4[[#This Row],[STATUS]]="LIQUIDADO","",Tabela4[[#This Row],[VCTO]]-$I$5)</f>
        <v>-5</v>
      </c>
      <c r="O926" s="26"/>
      <c r="P926" s="11"/>
      <c r="Q926" s="26"/>
      <c r="R926" s="26"/>
      <c r="S926" s="26"/>
      <c r="T926" s="26" t="s">
        <v>632</v>
      </c>
      <c r="U926" s="26"/>
      <c r="V926" s="5"/>
    </row>
    <row r="927" spans="1:22">
      <c r="A927" s="26" t="s">
        <v>0</v>
      </c>
      <c r="B927" s="11">
        <v>46094</v>
      </c>
      <c r="C927" s="351" t="s">
        <v>41</v>
      </c>
      <c r="D927" s="26">
        <v>492</v>
      </c>
      <c r="E927" s="35" t="s">
        <v>92</v>
      </c>
      <c r="F927" s="26" t="s">
        <v>100</v>
      </c>
      <c r="G927" s="215">
        <v>8752660000130</v>
      </c>
      <c r="H927" s="39">
        <v>1108</v>
      </c>
      <c r="I927" s="216">
        <v>46127</v>
      </c>
      <c r="J927" s="323" t="s">
        <v>91</v>
      </c>
      <c r="K927" s="318" t="s">
        <v>381</v>
      </c>
      <c r="L927" s="11">
        <v>46094</v>
      </c>
      <c r="M927" s="352" t="str">
        <f ca="1">IF(Tabela4[[#This Row],[RECOMPRADO]]="RECEBIDO","LIQUIDADO",IF(O927="LIQUIDADO","LIQUIDADO",IF(I927&lt;$I$5,"VENCIDO","A VENCER")))</f>
        <v>A VENCER</v>
      </c>
      <c r="N927" s="212">
        <f ca="1">IF(Tabela4[[#This Row],[STATUS]]="LIQUIDADO","",Tabela4[[#This Row],[VCTO]]-$I$5)</f>
        <v>29</v>
      </c>
      <c r="O927" s="26"/>
      <c r="P927" s="11"/>
      <c r="Q927" s="26"/>
      <c r="R927" s="26"/>
      <c r="S927" s="26"/>
      <c r="T927" s="26"/>
      <c r="U927" s="26"/>
      <c r="V927" s="5"/>
    </row>
    <row r="928" spans="1:22">
      <c r="A928" s="26" t="s">
        <v>0</v>
      </c>
      <c r="B928" s="11">
        <v>46094</v>
      </c>
      <c r="C928" s="351" t="s">
        <v>41</v>
      </c>
      <c r="D928" s="26">
        <v>492</v>
      </c>
      <c r="E928" s="35" t="s">
        <v>95</v>
      </c>
      <c r="F928" s="26" t="s">
        <v>100</v>
      </c>
      <c r="G928" s="215">
        <v>8752660000130</v>
      </c>
      <c r="H928" s="39">
        <v>1108</v>
      </c>
      <c r="I928" s="216">
        <v>46142</v>
      </c>
      <c r="J928" s="323" t="s">
        <v>91</v>
      </c>
      <c r="K928" s="318" t="s">
        <v>381</v>
      </c>
      <c r="L928" s="11">
        <v>46094</v>
      </c>
      <c r="M928" s="352" t="str">
        <f ca="1">IF(Tabela4[[#This Row],[RECOMPRADO]]="RECEBIDO","LIQUIDADO",IF(O928="LIQUIDADO","LIQUIDADO",IF(I928&lt;$I$5,"VENCIDO","A VENCER")))</f>
        <v>A VENCER</v>
      </c>
      <c r="N928" s="212">
        <f ca="1">IF(Tabela4[[#This Row],[STATUS]]="LIQUIDADO","",Tabela4[[#This Row],[VCTO]]-$I$5)</f>
        <v>44</v>
      </c>
      <c r="O928" s="26"/>
      <c r="P928" s="11"/>
      <c r="Q928" s="26"/>
      <c r="R928" s="26"/>
      <c r="S928" s="26"/>
      <c r="T928" s="26"/>
      <c r="U928" s="26"/>
      <c r="V928" s="5"/>
    </row>
    <row r="929" spans="1:22">
      <c r="A929" s="26" t="s">
        <v>0</v>
      </c>
      <c r="B929" s="11">
        <v>46094</v>
      </c>
      <c r="C929" s="351" t="s">
        <v>41</v>
      </c>
      <c r="D929" s="26">
        <v>492</v>
      </c>
      <c r="E929" s="35" t="s">
        <v>96</v>
      </c>
      <c r="F929" s="26" t="s">
        <v>100</v>
      </c>
      <c r="G929" s="215">
        <v>8752660000130</v>
      </c>
      <c r="H929" s="39">
        <v>1108</v>
      </c>
      <c r="I929" s="216">
        <v>46157</v>
      </c>
      <c r="J929" s="323" t="s">
        <v>91</v>
      </c>
      <c r="K929" s="318" t="s">
        <v>381</v>
      </c>
      <c r="L929" s="11">
        <v>46094</v>
      </c>
      <c r="M929" s="352" t="str">
        <f ca="1">IF(Tabela4[[#This Row],[RECOMPRADO]]="RECEBIDO","LIQUIDADO",IF(O929="LIQUIDADO","LIQUIDADO",IF(I929&lt;$I$5,"VENCIDO","A VENCER")))</f>
        <v>A VENCER</v>
      </c>
      <c r="N929" s="212">
        <f ca="1">IF(Tabela4[[#This Row],[STATUS]]="LIQUIDADO","",Tabela4[[#This Row],[VCTO]]-$I$5)</f>
        <v>59</v>
      </c>
      <c r="O929" s="26"/>
      <c r="P929" s="11"/>
      <c r="Q929" s="26"/>
      <c r="R929" s="26"/>
      <c r="S929" s="26"/>
      <c r="T929" s="26"/>
      <c r="U929" s="26"/>
      <c r="V929" s="5"/>
    </row>
    <row r="930" spans="1:22">
      <c r="A930" s="26" t="s">
        <v>0</v>
      </c>
      <c r="B930" s="11">
        <v>46094</v>
      </c>
      <c r="C930" s="351" t="s">
        <v>43</v>
      </c>
      <c r="D930" s="26">
        <v>492</v>
      </c>
      <c r="E930" s="35" t="s">
        <v>92</v>
      </c>
      <c r="F930" s="26" t="s">
        <v>100</v>
      </c>
      <c r="G930" s="215">
        <v>8752660000130</v>
      </c>
      <c r="H930" s="39">
        <v>9972</v>
      </c>
      <c r="I930" s="216">
        <v>46127</v>
      </c>
      <c r="J930" s="323" t="s">
        <v>91</v>
      </c>
      <c r="K930" s="318" t="s">
        <v>381</v>
      </c>
      <c r="L930" s="11">
        <v>46094</v>
      </c>
      <c r="M930" s="352" t="str">
        <f ca="1">IF(Tabela4[[#This Row],[RECOMPRADO]]="RECEBIDO","LIQUIDADO",IF(O930="LIQUIDADO","LIQUIDADO",IF(I930&lt;$I$5,"VENCIDO","A VENCER")))</f>
        <v>A VENCER</v>
      </c>
      <c r="N930" s="212">
        <f ca="1">IF(Tabela4[[#This Row],[STATUS]]="LIQUIDADO","",Tabela4[[#This Row],[VCTO]]-$I$5)</f>
        <v>29</v>
      </c>
      <c r="O930" s="26"/>
      <c r="P930" s="11"/>
      <c r="Q930" s="26"/>
      <c r="R930" s="26"/>
      <c r="S930" s="26"/>
      <c r="T930" s="26"/>
      <c r="U930" s="26"/>
      <c r="V930" s="5"/>
    </row>
    <row r="931" spans="1:22">
      <c r="A931" s="26" t="s">
        <v>0</v>
      </c>
      <c r="B931" s="11">
        <v>46094</v>
      </c>
      <c r="C931" s="351" t="s">
        <v>43</v>
      </c>
      <c r="D931" s="26">
        <v>492</v>
      </c>
      <c r="E931" s="35" t="s">
        <v>95</v>
      </c>
      <c r="F931" s="26" t="s">
        <v>100</v>
      </c>
      <c r="G931" s="215">
        <v>8752660000130</v>
      </c>
      <c r="H931" s="39">
        <v>9972</v>
      </c>
      <c r="I931" s="216">
        <v>46142</v>
      </c>
      <c r="J931" s="323" t="s">
        <v>91</v>
      </c>
      <c r="K931" s="318" t="s">
        <v>381</v>
      </c>
      <c r="L931" s="11">
        <v>46094</v>
      </c>
      <c r="M931" s="352" t="str">
        <f ca="1">IF(Tabela4[[#This Row],[RECOMPRADO]]="RECEBIDO","LIQUIDADO",IF(O931="LIQUIDADO","LIQUIDADO",IF(I931&lt;$I$5,"VENCIDO","A VENCER")))</f>
        <v>A VENCER</v>
      </c>
      <c r="N931" s="212">
        <f ca="1">IF(Tabela4[[#This Row],[STATUS]]="LIQUIDADO","",Tabela4[[#This Row],[VCTO]]-$I$5)</f>
        <v>44</v>
      </c>
      <c r="O931" s="26"/>
      <c r="P931" s="11"/>
      <c r="Q931" s="26"/>
      <c r="R931" s="26"/>
      <c r="S931" s="26"/>
      <c r="T931" s="26"/>
      <c r="U931" s="26"/>
      <c r="V931" s="5"/>
    </row>
    <row r="932" spans="1:22">
      <c r="A932" s="26" t="s">
        <v>0</v>
      </c>
      <c r="B932" s="11">
        <v>46094</v>
      </c>
      <c r="C932" s="351" t="s">
        <v>43</v>
      </c>
      <c r="D932" s="26">
        <v>492</v>
      </c>
      <c r="E932" s="35" t="s">
        <v>96</v>
      </c>
      <c r="F932" s="26" t="s">
        <v>100</v>
      </c>
      <c r="G932" s="215">
        <v>8752660000130</v>
      </c>
      <c r="H932" s="39">
        <v>9972</v>
      </c>
      <c r="I932" s="216">
        <v>46157</v>
      </c>
      <c r="J932" s="323" t="s">
        <v>91</v>
      </c>
      <c r="K932" s="318" t="s">
        <v>381</v>
      </c>
      <c r="L932" s="11">
        <v>46094</v>
      </c>
      <c r="M932" s="352" t="str">
        <f ca="1">IF(Tabela4[[#This Row],[RECOMPRADO]]="RECEBIDO","LIQUIDADO",IF(O932="LIQUIDADO","LIQUIDADO",IF(I932&lt;$I$5,"VENCIDO","A VENCER")))</f>
        <v>A VENCER</v>
      </c>
      <c r="N932" s="212">
        <f ca="1">IF(Tabela4[[#This Row],[STATUS]]="LIQUIDADO","",Tabela4[[#This Row],[VCTO]]-$I$5)</f>
        <v>59</v>
      </c>
      <c r="O932" s="26"/>
      <c r="P932" s="11"/>
      <c r="Q932" s="26"/>
      <c r="R932" s="26"/>
      <c r="S932" s="26"/>
      <c r="T932" s="26"/>
      <c r="U932" s="26"/>
      <c r="V932" s="5"/>
    </row>
    <row r="933" spans="1:22">
      <c r="A933" s="26" t="s">
        <v>0</v>
      </c>
      <c r="B933" s="11">
        <v>46094</v>
      </c>
      <c r="C933" s="351" t="s">
        <v>41</v>
      </c>
      <c r="D933" s="26">
        <v>490</v>
      </c>
      <c r="E933" s="35" t="s">
        <v>92</v>
      </c>
      <c r="F933" s="26" t="s">
        <v>300</v>
      </c>
      <c r="G933" s="215">
        <v>50160305000139</v>
      </c>
      <c r="H933" s="39">
        <v>3413.15</v>
      </c>
      <c r="I933" s="216">
        <v>46126</v>
      </c>
      <c r="J933" s="323" t="s">
        <v>91</v>
      </c>
      <c r="K933" s="318" t="s">
        <v>381</v>
      </c>
      <c r="L933" s="11">
        <v>46094</v>
      </c>
      <c r="M933" s="352" t="str">
        <f ca="1">IF(Tabela4[[#This Row],[RECOMPRADO]]="RECEBIDO","LIQUIDADO",IF(O933="LIQUIDADO","LIQUIDADO",IF(I933&lt;$I$5,"VENCIDO","A VENCER")))</f>
        <v>A VENCER</v>
      </c>
      <c r="N933" s="212">
        <f ca="1">IF(Tabela4[[#This Row],[STATUS]]="LIQUIDADO","",Tabela4[[#This Row],[VCTO]]-$I$5)</f>
        <v>28</v>
      </c>
      <c r="O933" s="26"/>
      <c r="P933" s="11"/>
      <c r="Q933" s="26"/>
      <c r="R933" s="26"/>
      <c r="S933" s="26"/>
      <c r="T933" s="26"/>
      <c r="U933" s="26"/>
      <c r="V933" s="5"/>
    </row>
    <row r="934" spans="1:22">
      <c r="A934" s="26" t="s">
        <v>0</v>
      </c>
      <c r="B934" s="11">
        <v>46094</v>
      </c>
      <c r="C934" s="351" t="s">
        <v>41</v>
      </c>
      <c r="D934" s="26">
        <v>490</v>
      </c>
      <c r="E934" s="35" t="s">
        <v>95</v>
      </c>
      <c r="F934" s="26" t="s">
        <v>300</v>
      </c>
      <c r="G934" s="215">
        <v>50160305000139</v>
      </c>
      <c r="H934" s="39">
        <v>2377.5</v>
      </c>
      <c r="I934" s="216">
        <v>46140</v>
      </c>
      <c r="J934" s="323" t="s">
        <v>91</v>
      </c>
      <c r="K934" s="318" t="s">
        <v>381</v>
      </c>
      <c r="L934" s="11">
        <v>46094</v>
      </c>
      <c r="M934" s="352" t="str">
        <f ca="1">IF(Tabela4[[#This Row],[RECOMPRADO]]="RECEBIDO","LIQUIDADO",IF(O934="LIQUIDADO","LIQUIDADO",IF(I934&lt;$I$5,"VENCIDO","A VENCER")))</f>
        <v>A VENCER</v>
      </c>
      <c r="N934" s="212">
        <f ca="1">IF(Tabela4[[#This Row],[STATUS]]="LIQUIDADO","",Tabela4[[#This Row],[VCTO]]-$I$5)</f>
        <v>42</v>
      </c>
      <c r="O934" s="26"/>
      <c r="P934" s="11"/>
      <c r="Q934" s="26"/>
      <c r="R934" s="26"/>
      <c r="S934" s="26"/>
      <c r="T934" s="26"/>
      <c r="U934" s="26"/>
      <c r="V934" s="5"/>
    </row>
    <row r="935" spans="1:22">
      <c r="A935" s="26" t="s">
        <v>0</v>
      </c>
      <c r="B935" s="11">
        <v>46094</v>
      </c>
      <c r="C935" s="351" t="s">
        <v>41</v>
      </c>
      <c r="D935" s="26">
        <v>490</v>
      </c>
      <c r="E935" s="35" t="s">
        <v>96</v>
      </c>
      <c r="F935" s="26" t="s">
        <v>300</v>
      </c>
      <c r="G935" s="215">
        <v>50160305000139</v>
      </c>
      <c r="H935" s="39">
        <v>2377.5</v>
      </c>
      <c r="I935" s="216">
        <v>46154</v>
      </c>
      <c r="J935" s="323" t="s">
        <v>91</v>
      </c>
      <c r="K935" s="318" t="s">
        <v>381</v>
      </c>
      <c r="L935" s="11">
        <v>46094</v>
      </c>
      <c r="M935" s="352" t="str">
        <f ca="1">IF(Tabela4[[#This Row],[RECOMPRADO]]="RECEBIDO","LIQUIDADO",IF(O935="LIQUIDADO","LIQUIDADO",IF(I935&lt;$I$5,"VENCIDO","A VENCER")))</f>
        <v>A VENCER</v>
      </c>
      <c r="N935" s="212">
        <f ca="1">IF(Tabela4[[#This Row],[STATUS]]="LIQUIDADO","",Tabela4[[#This Row],[VCTO]]-$I$5)</f>
        <v>56</v>
      </c>
      <c r="O935" s="26"/>
      <c r="P935" s="11"/>
      <c r="Q935" s="26"/>
      <c r="R935" s="26"/>
      <c r="S935" s="26"/>
      <c r="T935" s="26"/>
      <c r="U935" s="26"/>
      <c r="V935" s="5"/>
    </row>
    <row r="936" spans="1:22">
      <c r="A936" s="26" t="s">
        <v>0</v>
      </c>
      <c r="B936" s="11">
        <v>46094</v>
      </c>
      <c r="C936" s="351" t="s">
        <v>43</v>
      </c>
      <c r="D936" s="26">
        <v>490</v>
      </c>
      <c r="E936" s="35" t="s">
        <v>92</v>
      </c>
      <c r="F936" s="26" t="s">
        <v>300</v>
      </c>
      <c r="G936" s="215">
        <v>50160305000139</v>
      </c>
      <c r="H936" s="39">
        <v>2377.5</v>
      </c>
      <c r="I936" s="216">
        <v>46126</v>
      </c>
      <c r="J936" s="323" t="s">
        <v>91</v>
      </c>
      <c r="K936" s="318" t="s">
        <v>381</v>
      </c>
      <c r="L936" s="11">
        <v>46094</v>
      </c>
      <c r="M936" s="352" t="str">
        <f ca="1">IF(Tabela4[[#This Row],[RECOMPRADO]]="RECEBIDO","LIQUIDADO",IF(O936="LIQUIDADO","LIQUIDADO",IF(I936&lt;$I$5,"VENCIDO","A VENCER")))</f>
        <v>A VENCER</v>
      </c>
      <c r="N936" s="212">
        <f ca="1">IF(Tabela4[[#This Row],[STATUS]]="LIQUIDADO","",Tabela4[[#This Row],[VCTO]]-$I$5)</f>
        <v>28</v>
      </c>
      <c r="O936" s="26"/>
      <c r="P936" s="11"/>
      <c r="Q936" s="26"/>
      <c r="R936" s="26"/>
      <c r="S936" s="26"/>
      <c r="T936" s="26"/>
      <c r="U936" s="26"/>
      <c r="V936" s="5"/>
    </row>
    <row r="937" spans="1:22">
      <c r="A937" s="26" t="s">
        <v>0</v>
      </c>
      <c r="B937" s="11">
        <v>46094</v>
      </c>
      <c r="C937" s="351" t="s">
        <v>43</v>
      </c>
      <c r="D937" s="26">
        <v>490</v>
      </c>
      <c r="E937" s="35" t="s">
        <v>95</v>
      </c>
      <c r="F937" s="26" t="s">
        <v>300</v>
      </c>
      <c r="G937" s="215">
        <v>50160305000139</v>
      </c>
      <c r="H937" s="39">
        <v>2377.5</v>
      </c>
      <c r="I937" s="216">
        <v>46140</v>
      </c>
      <c r="J937" s="323" t="s">
        <v>91</v>
      </c>
      <c r="K937" s="318" t="s">
        <v>381</v>
      </c>
      <c r="L937" s="11">
        <v>46094</v>
      </c>
      <c r="M937" s="352" t="str">
        <f ca="1">IF(Tabela4[[#This Row],[RECOMPRADO]]="RECEBIDO","LIQUIDADO",IF(O937="LIQUIDADO","LIQUIDADO",IF(I937&lt;$I$5,"VENCIDO","A VENCER")))</f>
        <v>A VENCER</v>
      </c>
      <c r="N937" s="212">
        <f ca="1">IF(Tabela4[[#This Row],[STATUS]]="LIQUIDADO","",Tabela4[[#This Row],[VCTO]]-$I$5)</f>
        <v>42</v>
      </c>
      <c r="O937" s="26"/>
      <c r="P937" s="11"/>
      <c r="Q937" s="26"/>
      <c r="R937" s="26"/>
      <c r="S937" s="26"/>
      <c r="T937" s="26"/>
      <c r="U937" s="26"/>
      <c r="V937" s="5"/>
    </row>
    <row r="938" spans="1:22">
      <c r="A938" s="26" t="s">
        <v>0</v>
      </c>
      <c r="B938" s="11">
        <v>46094</v>
      </c>
      <c r="C938" s="351" t="s">
        <v>43</v>
      </c>
      <c r="D938" s="26">
        <v>490</v>
      </c>
      <c r="E938" s="35" t="s">
        <v>96</v>
      </c>
      <c r="F938" s="26" t="s">
        <v>300</v>
      </c>
      <c r="G938" s="215">
        <v>50160305000139</v>
      </c>
      <c r="H938" s="39">
        <v>2377.5</v>
      </c>
      <c r="I938" s="216">
        <v>46154</v>
      </c>
      <c r="J938" s="323" t="s">
        <v>91</v>
      </c>
      <c r="K938" s="318" t="s">
        <v>381</v>
      </c>
      <c r="L938" s="11">
        <v>46094</v>
      </c>
      <c r="M938" s="352" t="str">
        <f ca="1">IF(Tabela4[[#This Row],[RECOMPRADO]]="RECEBIDO","LIQUIDADO",IF(O938="LIQUIDADO","LIQUIDADO",IF(I938&lt;$I$5,"VENCIDO","A VENCER")))</f>
        <v>A VENCER</v>
      </c>
      <c r="N938" s="212">
        <f ca="1">IF(Tabela4[[#This Row],[STATUS]]="LIQUIDADO","",Tabela4[[#This Row],[VCTO]]-$I$5)</f>
        <v>56</v>
      </c>
      <c r="O938" s="26"/>
      <c r="P938" s="11"/>
      <c r="Q938" s="26"/>
      <c r="R938" s="26"/>
      <c r="S938" s="26"/>
      <c r="T938" s="26"/>
      <c r="U938" s="26"/>
      <c r="V938" s="5"/>
    </row>
    <row r="939" spans="1:22">
      <c r="A939" s="26" t="s">
        <v>0</v>
      </c>
      <c r="B939" s="11">
        <v>46094</v>
      </c>
      <c r="C939" s="351" t="s">
        <v>41</v>
      </c>
      <c r="D939" s="26">
        <v>486</v>
      </c>
      <c r="E939" s="35" t="s">
        <v>92</v>
      </c>
      <c r="F939" s="26" t="s">
        <v>589</v>
      </c>
      <c r="G939" s="215">
        <v>1134726000180</v>
      </c>
      <c r="H939" s="39">
        <v>3348.46</v>
      </c>
      <c r="I939" s="216">
        <v>46126</v>
      </c>
      <c r="J939" s="323" t="s">
        <v>91</v>
      </c>
      <c r="K939" s="26" t="s">
        <v>72</v>
      </c>
      <c r="L939" s="11">
        <v>46097</v>
      </c>
      <c r="M939" s="352" t="str">
        <f ca="1">IF(Tabela4[[#This Row],[RECOMPRADO]]="RECEBIDO","LIQUIDADO",IF(O939="LIQUIDADO","LIQUIDADO",IF(I939&lt;$I$5,"VENCIDO","A VENCER")))</f>
        <v>A VENCER</v>
      </c>
      <c r="N939" s="212">
        <f ca="1">IF(Tabela4[[#This Row],[STATUS]]="LIQUIDADO","",Tabela4[[#This Row],[VCTO]]-$I$5)</f>
        <v>28</v>
      </c>
      <c r="O939" s="26"/>
      <c r="P939" s="11"/>
      <c r="Q939" s="26"/>
      <c r="R939" s="26"/>
      <c r="S939" s="26"/>
      <c r="T939" s="26" t="s">
        <v>388</v>
      </c>
      <c r="U939" s="26"/>
      <c r="V939" s="5" t="s">
        <v>635</v>
      </c>
    </row>
    <row r="940" spans="1:22">
      <c r="A940" s="26" t="s">
        <v>0</v>
      </c>
      <c r="B940" s="11">
        <v>46094</v>
      </c>
      <c r="C940" s="351" t="s">
        <v>41</v>
      </c>
      <c r="D940" s="26">
        <v>486</v>
      </c>
      <c r="E940" s="35" t="s">
        <v>95</v>
      </c>
      <c r="F940" s="26" t="s">
        <v>589</v>
      </c>
      <c r="G940" s="215">
        <v>1134726000180</v>
      </c>
      <c r="H940" s="39">
        <v>3348.46</v>
      </c>
      <c r="I940" s="216">
        <v>46133</v>
      </c>
      <c r="J940" s="323" t="s">
        <v>91</v>
      </c>
      <c r="K940" s="26" t="s">
        <v>72</v>
      </c>
      <c r="L940" s="11">
        <v>46097</v>
      </c>
      <c r="M940" s="352" t="str">
        <f ca="1">IF(Tabela4[[#This Row],[RECOMPRADO]]="RECEBIDO","LIQUIDADO",IF(O940="LIQUIDADO","LIQUIDADO",IF(I940&lt;$I$5,"VENCIDO","A VENCER")))</f>
        <v>A VENCER</v>
      </c>
      <c r="N940" s="212">
        <f ca="1">IF(Tabela4[[#This Row],[STATUS]]="LIQUIDADO","",Tabela4[[#This Row],[VCTO]]-$I$5)</f>
        <v>35</v>
      </c>
      <c r="O940" s="26"/>
      <c r="P940" s="11"/>
      <c r="Q940" s="26"/>
      <c r="R940" s="26"/>
      <c r="S940" s="26"/>
      <c r="T940" s="26" t="s">
        <v>388</v>
      </c>
      <c r="U940" s="26"/>
      <c r="V940" s="5" t="s">
        <v>635</v>
      </c>
    </row>
    <row r="941" spans="1:22">
      <c r="A941" s="26" t="s">
        <v>0</v>
      </c>
      <c r="B941" s="11">
        <v>46094</v>
      </c>
      <c r="C941" s="351" t="s">
        <v>41</v>
      </c>
      <c r="D941" s="26">
        <v>486</v>
      </c>
      <c r="E941" s="35" t="s">
        <v>96</v>
      </c>
      <c r="F941" s="26" t="s">
        <v>589</v>
      </c>
      <c r="G941" s="215">
        <v>1134726000180</v>
      </c>
      <c r="H941" s="39">
        <v>3348.46</v>
      </c>
      <c r="I941" s="216">
        <v>46140</v>
      </c>
      <c r="J941" s="323" t="s">
        <v>91</v>
      </c>
      <c r="K941" s="26" t="s">
        <v>72</v>
      </c>
      <c r="L941" s="11">
        <v>46097</v>
      </c>
      <c r="M941" s="352" t="str">
        <f ca="1">IF(Tabela4[[#This Row],[RECOMPRADO]]="RECEBIDO","LIQUIDADO",IF(O941="LIQUIDADO","LIQUIDADO",IF(I941&lt;$I$5,"VENCIDO","A VENCER")))</f>
        <v>A VENCER</v>
      </c>
      <c r="N941" s="212">
        <f ca="1">IF(Tabela4[[#This Row],[STATUS]]="LIQUIDADO","",Tabela4[[#This Row],[VCTO]]-$I$5)</f>
        <v>42</v>
      </c>
      <c r="O941" s="26"/>
      <c r="P941" s="11"/>
      <c r="Q941" s="26"/>
      <c r="R941" s="26"/>
      <c r="S941" s="26"/>
      <c r="T941" s="26" t="s">
        <v>388</v>
      </c>
      <c r="U941" s="26"/>
      <c r="V941" s="5" t="s">
        <v>635</v>
      </c>
    </row>
    <row r="942" spans="1:22">
      <c r="A942" s="26" t="s">
        <v>0</v>
      </c>
      <c r="B942" s="11">
        <v>46094</v>
      </c>
      <c r="C942" s="351" t="s">
        <v>41</v>
      </c>
      <c r="D942" s="26">
        <v>486</v>
      </c>
      <c r="E942" s="35" t="s">
        <v>97</v>
      </c>
      <c r="F942" s="26" t="s">
        <v>589</v>
      </c>
      <c r="G942" s="215">
        <v>1134726000180</v>
      </c>
      <c r="H942" s="39">
        <v>3348.46</v>
      </c>
      <c r="I942" s="216">
        <v>46147</v>
      </c>
      <c r="J942" s="323" t="s">
        <v>91</v>
      </c>
      <c r="K942" s="26" t="s">
        <v>72</v>
      </c>
      <c r="L942" s="11">
        <v>46097</v>
      </c>
      <c r="M942" s="352" t="str">
        <f ca="1">IF(Tabela4[[#This Row],[RECOMPRADO]]="RECEBIDO","LIQUIDADO",IF(O942="LIQUIDADO","LIQUIDADO",IF(I942&lt;$I$5,"VENCIDO","A VENCER")))</f>
        <v>A VENCER</v>
      </c>
      <c r="N942" s="212">
        <f ca="1">IF(Tabela4[[#This Row],[STATUS]]="LIQUIDADO","",Tabela4[[#This Row],[VCTO]]-$I$5)</f>
        <v>49</v>
      </c>
      <c r="O942" s="26"/>
      <c r="P942" s="11"/>
      <c r="Q942" s="26"/>
      <c r="R942" s="26"/>
      <c r="S942" s="26"/>
      <c r="T942" s="26" t="s">
        <v>388</v>
      </c>
      <c r="U942" s="26"/>
      <c r="V942" s="5" t="s">
        <v>635</v>
      </c>
    </row>
    <row r="943" spans="1:22">
      <c r="A943" s="26" t="s">
        <v>0</v>
      </c>
      <c r="B943" s="11">
        <v>46094</v>
      </c>
      <c r="C943" s="351" t="s">
        <v>41</v>
      </c>
      <c r="D943" s="26">
        <v>486</v>
      </c>
      <c r="E943" s="35" t="s">
        <v>98</v>
      </c>
      <c r="F943" s="26" t="s">
        <v>589</v>
      </c>
      <c r="G943" s="215">
        <v>1134726000180</v>
      </c>
      <c r="H943" s="39">
        <v>3348.44</v>
      </c>
      <c r="I943" s="216">
        <v>46154</v>
      </c>
      <c r="J943" s="323" t="s">
        <v>91</v>
      </c>
      <c r="K943" s="26" t="s">
        <v>72</v>
      </c>
      <c r="L943" s="11">
        <v>46097</v>
      </c>
      <c r="M943" s="352" t="str">
        <f ca="1">IF(Tabela4[[#This Row],[RECOMPRADO]]="RECEBIDO","LIQUIDADO",IF(O943="LIQUIDADO","LIQUIDADO",IF(I943&lt;$I$5,"VENCIDO","A VENCER")))</f>
        <v>A VENCER</v>
      </c>
      <c r="N943" s="212">
        <f ca="1">IF(Tabela4[[#This Row],[STATUS]]="LIQUIDADO","",Tabela4[[#This Row],[VCTO]]-$I$5)</f>
        <v>56</v>
      </c>
      <c r="O943" s="26"/>
      <c r="P943" s="11"/>
      <c r="Q943" s="26"/>
      <c r="R943" s="26"/>
      <c r="S943" s="26"/>
      <c r="T943" s="26" t="s">
        <v>388</v>
      </c>
      <c r="U943" s="26"/>
      <c r="V943" s="5" t="s">
        <v>635</v>
      </c>
    </row>
    <row r="944" spans="1:22">
      <c r="A944" s="5" t="s">
        <v>0</v>
      </c>
      <c r="B944" s="6">
        <v>46094</v>
      </c>
      <c r="C944" s="351" t="s">
        <v>41</v>
      </c>
      <c r="D944" s="5">
        <v>487</v>
      </c>
      <c r="E944" s="35" t="s">
        <v>92</v>
      </c>
      <c r="F944" s="26" t="s">
        <v>589</v>
      </c>
      <c r="G944" s="215">
        <v>1134726000180</v>
      </c>
      <c r="H944" s="38">
        <v>4249.6000000000004</v>
      </c>
      <c r="I944" s="217">
        <v>46126</v>
      </c>
      <c r="J944" s="323" t="s">
        <v>91</v>
      </c>
      <c r="K944" s="26" t="s">
        <v>79</v>
      </c>
      <c r="L944" s="11">
        <v>46097</v>
      </c>
      <c r="M944" s="350" t="str">
        <f ca="1">IF(Tabela4[[#This Row],[RECOMPRADO]]="RECEBIDO","LIQUIDADO",IF(O944="LIQUIDADO","LIQUIDADO",IF(I944&lt;$I$5,"VENCIDO","A VENCER")))</f>
        <v>A VENCER</v>
      </c>
      <c r="N944" s="211">
        <f ca="1">IF(Tabela4[[#This Row],[STATUS]]="LIQUIDADO","",Tabela4[[#This Row],[VCTO]]-$I$5)</f>
        <v>28</v>
      </c>
      <c r="O944" s="5"/>
      <c r="P944" s="6"/>
      <c r="Q944" s="5"/>
      <c r="R944" s="5"/>
      <c r="S944" s="5"/>
      <c r="T944" s="26" t="s">
        <v>388</v>
      </c>
      <c r="U944" s="26"/>
      <c r="V944" s="5" t="s">
        <v>635</v>
      </c>
    </row>
    <row r="945" spans="1:22">
      <c r="A945" s="5" t="s">
        <v>0</v>
      </c>
      <c r="B945" s="6">
        <v>46094</v>
      </c>
      <c r="C945" s="351" t="s">
        <v>41</v>
      </c>
      <c r="D945" s="5">
        <v>487</v>
      </c>
      <c r="E945" s="35" t="s">
        <v>95</v>
      </c>
      <c r="F945" s="26" t="s">
        <v>589</v>
      </c>
      <c r="G945" s="215">
        <v>1134726000180</v>
      </c>
      <c r="H945" s="38">
        <v>2560</v>
      </c>
      <c r="I945" s="217">
        <v>46133</v>
      </c>
      <c r="J945" s="323" t="s">
        <v>91</v>
      </c>
      <c r="K945" s="26" t="s">
        <v>79</v>
      </c>
      <c r="L945" s="11">
        <v>46097</v>
      </c>
      <c r="M945" s="350" t="str">
        <f ca="1">IF(Tabela4[[#This Row],[RECOMPRADO]]="RECEBIDO","LIQUIDADO",IF(O945="LIQUIDADO","LIQUIDADO",IF(I945&lt;$I$5,"VENCIDO","A VENCER")))</f>
        <v>A VENCER</v>
      </c>
      <c r="N945" s="211">
        <f ca="1">IF(Tabela4[[#This Row],[STATUS]]="LIQUIDADO","",Tabela4[[#This Row],[VCTO]]-$I$5)</f>
        <v>35</v>
      </c>
      <c r="O945" s="5"/>
      <c r="P945" s="6"/>
      <c r="Q945" s="5"/>
      <c r="R945" s="5"/>
      <c r="S945" s="5"/>
      <c r="T945" s="26" t="s">
        <v>388</v>
      </c>
      <c r="U945" s="26"/>
      <c r="V945" s="5" t="s">
        <v>635</v>
      </c>
    </row>
    <row r="946" spans="1:22">
      <c r="A946" s="5" t="s">
        <v>0</v>
      </c>
      <c r="B946" s="6">
        <v>46094</v>
      </c>
      <c r="C946" s="351" t="s">
        <v>41</v>
      </c>
      <c r="D946" s="5">
        <v>487</v>
      </c>
      <c r="E946" s="35" t="s">
        <v>96</v>
      </c>
      <c r="F946" s="26" t="s">
        <v>589</v>
      </c>
      <c r="G946" s="215">
        <v>1134726000180</v>
      </c>
      <c r="H946" s="38">
        <v>2560</v>
      </c>
      <c r="I946" s="217">
        <v>46140</v>
      </c>
      <c r="J946" s="323" t="s">
        <v>91</v>
      </c>
      <c r="K946" s="26" t="s">
        <v>79</v>
      </c>
      <c r="L946" s="11">
        <v>46097</v>
      </c>
      <c r="M946" s="350" t="str">
        <f ca="1">IF(Tabela4[[#This Row],[RECOMPRADO]]="RECEBIDO","LIQUIDADO",IF(O946="LIQUIDADO","LIQUIDADO",IF(I946&lt;$I$5,"VENCIDO","A VENCER")))</f>
        <v>A VENCER</v>
      </c>
      <c r="N946" s="211">
        <f ca="1">IF(Tabela4[[#This Row],[STATUS]]="LIQUIDADO","",Tabela4[[#This Row],[VCTO]]-$I$5)</f>
        <v>42</v>
      </c>
      <c r="O946" s="5"/>
      <c r="P946" s="6"/>
      <c r="Q946" s="5"/>
      <c r="R946" s="5"/>
      <c r="S946" s="5"/>
      <c r="T946" s="26" t="s">
        <v>388</v>
      </c>
      <c r="U946" s="26"/>
      <c r="V946" s="5" t="s">
        <v>635</v>
      </c>
    </row>
    <row r="947" spans="1:22">
      <c r="A947" s="5" t="s">
        <v>0</v>
      </c>
      <c r="B947" s="6">
        <v>46094</v>
      </c>
      <c r="C947" s="351" t="s">
        <v>41</v>
      </c>
      <c r="D947" s="5">
        <v>487</v>
      </c>
      <c r="E947" s="35" t="s">
        <v>97</v>
      </c>
      <c r="F947" s="26" t="s">
        <v>589</v>
      </c>
      <c r="G947" s="215">
        <v>1134726000180</v>
      </c>
      <c r="H947" s="38">
        <v>2560</v>
      </c>
      <c r="I947" s="217">
        <v>46147</v>
      </c>
      <c r="J947" s="323" t="s">
        <v>91</v>
      </c>
      <c r="K947" s="26" t="s">
        <v>79</v>
      </c>
      <c r="L947" s="11">
        <v>46097</v>
      </c>
      <c r="M947" s="350" t="str">
        <f ca="1">IF(Tabela4[[#This Row],[RECOMPRADO]]="RECEBIDO","LIQUIDADO",IF(O947="LIQUIDADO","LIQUIDADO",IF(I947&lt;$I$5,"VENCIDO","A VENCER")))</f>
        <v>A VENCER</v>
      </c>
      <c r="N947" s="211">
        <f ca="1">IF(Tabela4[[#This Row],[STATUS]]="LIQUIDADO","",Tabela4[[#This Row],[VCTO]]-$I$5)</f>
        <v>49</v>
      </c>
      <c r="O947" s="5"/>
      <c r="P947" s="6"/>
      <c r="Q947" s="5"/>
      <c r="R947" s="5"/>
      <c r="S947" s="5"/>
      <c r="T947" s="26" t="s">
        <v>388</v>
      </c>
      <c r="U947" s="26"/>
      <c r="V947" s="5" t="s">
        <v>635</v>
      </c>
    </row>
    <row r="948" spans="1:22">
      <c r="A948" s="26" t="s">
        <v>0</v>
      </c>
      <c r="B948" s="11">
        <v>46094</v>
      </c>
      <c r="C948" s="351" t="s">
        <v>41</v>
      </c>
      <c r="D948" s="5">
        <v>487</v>
      </c>
      <c r="E948" s="35" t="s">
        <v>98</v>
      </c>
      <c r="F948" s="26" t="s">
        <v>589</v>
      </c>
      <c r="G948" s="215">
        <v>1134726000180</v>
      </c>
      <c r="H948" s="38">
        <v>2560</v>
      </c>
      <c r="I948" s="216">
        <v>46154</v>
      </c>
      <c r="J948" s="323" t="s">
        <v>91</v>
      </c>
      <c r="K948" s="26" t="s">
        <v>79</v>
      </c>
      <c r="L948" s="11">
        <v>46097</v>
      </c>
      <c r="M948" s="352" t="str">
        <f ca="1">IF(Tabela4[[#This Row],[RECOMPRADO]]="RECEBIDO","LIQUIDADO",IF(O948="LIQUIDADO","LIQUIDADO",IF(I948&lt;$I$5,"VENCIDO","A VENCER")))</f>
        <v>A VENCER</v>
      </c>
      <c r="N948" s="212">
        <f ca="1">IF(Tabela4[[#This Row],[STATUS]]="LIQUIDADO","",Tabela4[[#This Row],[VCTO]]-$I$5)</f>
        <v>56</v>
      </c>
      <c r="O948" s="26"/>
      <c r="P948" s="11"/>
      <c r="Q948" s="26"/>
      <c r="R948" s="26"/>
      <c r="S948" s="26"/>
      <c r="T948" s="26" t="s">
        <v>388</v>
      </c>
      <c r="U948" s="26"/>
      <c r="V948" s="5" t="s">
        <v>635</v>
      </c>
    </row>
    <row r="949" spans="1:22">
      <c r="A949" s="26" t="s">
        <v>0</v>
      </c>
      <c r="B949" s="11">
        <v>46094</v>
      </c>
      <c r="C949" s="351" t="s">
        <v>41</v>
      </c>
      <c r="D949" s="5">
        <v>488</v>
      </c>
      <c r="E949" s="35" t="s">
        <v>92</v>
      </c>
      <c r="F949" s="26" t="s">
        <v>589</v>
      </c>
      <c r="G949" s="215">
        <v>1134726000180</v>
      </c>
      <c r="H949" s="38">
        <v>21885.439999999999</v>
      </c>
      <c r="I949" s="217">
        <v>46126</v>
      </c>
      <c r="J949" s="323" t="s">
        <v>91</v>
      </c>
      <c r="K949" s="26" t="s">
        <v>79</v>
      </c>
      <c r="L949" s="11">
        <v>46097</v>
      </c>
      <c r="M949" s="350" t="str">
        <f ca="1">IF(Tabela4[[#This Row],[RECOMPRADO]]="RECEBIDO","LIQUIDADO",IF(O949="LIQUIDADO","LIQUIDADO",IF(I949&lt;$I$5,"VENCIDO","A VENCER")))</f>
        <v>A VENCER</v>
      </c>
      <c r="N949" s="211">
        <f ca="1">IF(Tabela4[[#This Row],[STATUS]]="LIQUIDADO","",Tabela4[[#This Row],[VCTO]]-$I$5)</f>
        <v>28</v>
      </c>
      <c r="O949" s="5"/>
      <c r="P949" s="6"/>
      <c r="Q949" s="5"/>
      <c r="R949" s="5"/>
      <c r="S949" s="5"/>
      <c r="T949" s="26" t="s">
        <v>388</v>
      </c>
      <c r="U949" s="26"/>
      <c r="V949" s="5" t="s">
        <v>635</v>
      </c>
    </row>
    <row r="950" spans="1:22">
      <c r="A950" s="26" t="s">
        <v>0</v>
      </c>
      <c r="B950" s="11">
        <v>46094</v>
      </c>
      <c r="C950" s="351" t="s">
        <v>41</v>
      </c>
      <c r="D950" s="5">
        <v>488</v>
      </c>
      <c r="E950" s="35" t="s">
        <v>95</v>
      </c>
      <c r="F950" s="26" t="s">
        <v>589</v>
      </c>
      <c r="G950" s="215">
        <v>1134726000180</v>
      </c>
      <c r="H950" s="39">
        <v>13184</v>
      </c>
      <c r="I950" s="216">
        <v>46133</v>
      </c>
      <c r="J950" s="323" t="s">
        <v>91</v>
      </c>
      <c r="K950" s="26" t="s">
        <v>79</v>
      </c>
      <c r="L950" s="11">
        <v>46097</v>
      </c>
      <c r="M950" s="352" t="str">
        <f ca="1">IF(Tabela4[[#This Row],[RECOMPRADO]]="RECEBIDO","LIQUIDADO",IF(O950="LIQUIDADO","LIQUIDADO",IF(I950&lt;$I$5,"VENCIDO","A VENCER")))</f>
        <v>A VENCER</v>
      </c>
      <c r="N950" s="212">
        <f ca="1">IF(Tabela4[[#This Row],[STATUS]]="LIQUIDADO","",Tabela4[[#This Row],[VCTO]]-$I$5)</f>
        <v>35</v>
      </c>
      <c r="O950" s="26"/>
      <c r="P950" s="11"/>
      <c r="Q950" s="26"/>
      <c r="R950" s="26"/>
      <c r="S950" s="26"/>
      <c r="T950" s="26" t="s">
        <v>388</v>
      </c>
      <c r="U950" s="26"/>
      <c r="V950" s="5" t="s">
        <v>635</v>
      </c>
    </row>
    <row r="951" spans="1:22">
      <c r="A951" s="26" t="s">
        <v>0</v>
      </c>
      <c r="B951" s="11">
        <v>46094</v>
      </c>
      <c r="C951" s="351" t="s">
        <v>41</v>
      </c>
      <c r="D951" s="5">
        <v>488</v>
      </c>
      <c r="E951" s="35" t="s">
        <v>96</v>
      </c>
      <c r="F951" s="26" t="s">
        <v>589</v>
      </c>
      <c r="G951" s="215">
        <v>1134726000180</v>
      </c>
      <c r="H951" s="39">
        <v>13184</v>
      </c>
      <c r="I951" s="216">
        <v>46140</v>
      </c>
      <c r="J951" s="323" t="s">
        <v>91</v>
      </c>
      <c r="K951" s="26" t="s">
        <v>79</v>
      </c>
      <c r="L951" s="11">
        <v>46097</v>
      </c>
      <c r="M951" s="352" t="str">
        <f ca="1">IF(Tabela4[[#This Row],[RECOMPRADO]]="RECEBIDO","LIQUIDADO",IF(O951="LIQUIDADO","LIQUIDADO",IF(I951&lt;$I$5,"VENCIDO","A VENCER")))</f>
        <v>A VENCER</v>
      </c>
      <c r="N951" s="212">
        <f ca="1">IF(Tabela4[[#This Row],[STATUS]]="LIQUIDADO","",Tabela4[[#This Row],[VCTO]]-$I$5)</f>
        <v>42</v>
      </c>
      <c r="O951" s="26"/>
      <c r="P951" s="11"/>
      <c r="Q951" s="26"/>
      <c r="R951" s="26"/>
      <c r="S951" s="26"/>
      <c r="T951" s="26" t="s">
        <v>388</v>
      </c>
      <c r="U951" s="26"/>
      <c r="V951" s="5" t="s">
        <v>635</v>
      </c>
    </row>
    <row r="952" spans="1:22">
      <c r="A952" s="26" t="s">
        <v>0</v>
      </c>
      <c r="B952" s="11">
        <v>46094</v>
      </c>
      <c r="C952" s="351" t="s">
        <v>41</v>
      </c>
      <c r="D952" s="5">
        <v>488</v>
      </c>
      <c r="E952" s="35" t="s">
        <v>97</v>
      </c>
      <c r="F952" s="26" t="s">
        <v>589</v>
      </c>
      <c r="G952" s="215">
        <v>1134726000180</v>
      </c>
      <c r="H952" s="39">
        <v>13184</v>
      </c>
      <c r="I952" s="216">
        <v>46147</v>
      </c>
      <c r="J952" s="323" t="s">
        <v>91</v>
      </c>
      <c r="K952" s="26" t="s">
        <v>79</v>
      </c>
      <c r="L952" s="11">
        <v>46097</v>
      </c>
      <c r="M952" s="352" t="str">
        <f ca="1">IF(Tabela4[[#This Row],[RECOMPRADO]]="RECEBIDO","LIQUIDADO",IF(O952="LIQUIDADO","LIQUIDADO",IF(I952&lt;$I$5,"VENCIDO","A VENCER")))</f>
        <v>A VENCER</v>
      </c>
      <c r="N952" s="212">
        <f ca="1">IF(Tabela4[[#This Row],[STATUS]]="LIQUIDADO","",Tabela4[[#This Row],[VCTO]]-$I$5)</f>
        <v>49</v>
      </c>
      <c r="O952" s="26"/>
      <c r="P952" s="11"/>
      <c r="Q952" s="26"/>
      <c r="R952" s="26"/>
      <c r="S952" s="26"/>
      <c r="T952" s="26" t="s">
        <v>388</v>
      </c>
      <c r="U952" s="26"/>
      <c r="V952" s="5" t="s">
        <v>635</v>
      </c>
    </row>
    <row r="953" spans="1:22">
      <c r="A953" s="26" t="s">
        <v>0</v>
      </c>
      <c r="B953" s="11">
        <v>46094</v>
      </c>
      <c r="C953" s="351" t="s">
        <v>41</v>
      </c>
      <c r="D953" s="5">
        <v>488</v>
      </c>
      <c r="E953" s="35" t="s">
        <v>98</v>
      </c>
      <c r="F953" s="26" t="s">
        <v>589</v>
      </c>
      <c r="G953" s="215">
        <v>1134726000180</v>
      </c>
      <c r="H953" s="39">
        <v>13184</v>
      </c>
      <c r="I953" s="216">
        <v>46154</v>
      </c>
      <c r="J953" s="323" t="s">
        <v>91</v>
      </c>
      <c r="K953" s="26" t="s">
        <v>79</v>
      </c>
      <c r="L953" s="11">
        <v>46097</v>
      </c>
      <c r="M953" s="352" t="str">
        <f ca="1">IF(Tabela4[[#This Row],[RECOMPRADO]]="RECEBIDO","LIQUIDADO",IF(O953="LIQUIDADO","LIQUIDADO",IF(I953&lt;$I$5,"VENCIDO","A VENCER")))</f>
        <v>A VENCER</v>
      </c>
      <c r="N953" s="212">
        <f ca="1">IF(Tabela4[[#This Row],[STATUS]]="LIQUIDADO","",Tabela4[[#This Row],[VCTO]]-$I$5)</f>
        <v>56</v>
      </c>
      <c r="O953" s="26"/>
      <c r="P953" s="11"/>
      <c r="Q953" s="26"/>
      <c r="R953" s="26"/>
      <c r="S953" s="26"/>
      <c r="T953" s="26" t="s">
        <v>388</v>
      </c>
      <c r="U953" s="26"/>
      <c r="V953" s="5" t="s">
        <v>635</v>
      </c>
    </row>
    <row r="954" spans="1:22">
      <c r="A954" s="5" t="s">
        <v>0</v>
      </c>
      <c r="B954" s="6">
        <v>46094</v>
      </c>
      <c r="C954" s="349" t="s">
        <v>41</v>
      </c>
      <c r="D954" s="5">
        <v>489</v>
      </c>
      <c r="E954" s="35" t="s">
        <v>92</v>
      </c>
      <c r="F954" s="26" t="s">
        <v>589</v>
      </c>
      <c r="G954" s="215">
        <v>1134726000180</v>
      </c>
      <c r="H954" s="38">
        <v>9005.06</v>
      </c>
      <c r="I954" s="217">
        <v>46119</v>
      </c>
      <c r="J954" s="323" t="s">
        <v>91</v>
      </c>
      <c r="K954" s="26" t="s">
        <v>79</v>
      </c>
      <c r="L954" s="11">
        <v>46097</v>
      </c>
      <c r="M954" s="350" t="str">
        <f ca="1">IF(Tabela4[[#This Row],[RECOMPRADO]]="RECEBIDO","LIQUIDADO",IF(O954="LIQUIDADO","LIQUIDADO",IF(I954&lt;$I$5,"VENCIDO","A VENCER")))</f>
        <v>A VENCER</v>
      </c>
      <c r="N954" s="211">
        <f ca="1">IF(Tabela4[[#This Row],[STATUS]]="LIQUIDADO","",Tabela4[[#This Row],[VCTO]]-$I$5)</f>
        <v>21</v>
      </c>
      <c r="O954" s="5"/>
      <c r="P954" s="6"/>
      <c r="Q954" s="5"/>
      <c r="R954" s="5"/>
      <c r="S954" s="5"/>
      <c r="T954" s="26" t="s">
        <v>388</v>
      </c>
      <c r="U954" s="26"/>
      <c r="V954" s="5" t="s">
        <v>635</v>
      </c>
    </row>
    <row r="955" spans="1:22">
      <c r="A955" s="5" t="s">
        <v>0</v>
      </c>
      <c r="B955" s="6">
        <v>46094</v>
      </c>
      <c r="C955" s="349" t="s">
        <v>41</v>
      </c>
      <c r="D955" s="5">
        <v>489</v>
      </c>
      <c r="E955" s="35" t="s">
        <v>95</v>
      </c>
      <c r="F955" s="26" t="s">
        <v>589</v>
      </c>
      <c r="G955" s="215">
        <v>1134726000180</v>
      </c>
      <c r="H955" s="38">
        <v>9005.06</v>
      </c>
      <c r="I955" s="217">
        <v>46126</v>
      </c>
      <c r="J955" s="323" t="s">
        <v>91</v>
      </c>
      <c r="K955" s="26" t="s">
        <v>79</v>
      </c>
      <c r="L955" s="11">
        <v>46097</v>
      </c>
      <c r="M955" s="350" t="str">
        <f ca="1">IF(Tabela4[[#This Row],[RECOMPRADO]]="RECEBIDO","LIQUIDADO",IF(O955="LIQUIDADO","LIQUIDADO",IF(I955&lt;$I$5,"VENCIDO","A VENCER")))</f>
        <v>A VENCER</v>
      </c>
      <c r="N955" s="211">
        <f ca="1">IF(Tabela4[[#This Row],[STATUS]]="LIQUIDADO","",Tabela4[[#This Row],[VCTO]]-$I$5)</f>
        <v>28</v>
      </c>
      <c r="O955" s="5"/>
      <c r="P955" s="6"/>
      <c r="Q955" s="5"/>
      <c r="R955" s="5"/>
      <c r="S955" s="5"/>
      <c r="T955" s="26" t="s">
        <v>388</v>
      </c>
      <c r="U955" s="26"/>
      <c r="V955" s="5" t="s">
        <v>635</v>
      </c>
    </row>
    <row r="956" spans="1:22">
      <c r="A956" s="5" t="s">
        <v>0</v>
      </c>
      <c r="B956" s="6">
        <v>46094</v>
      </c>
      <c r="C956" s="349" t="s">
        <v>41</v>
      </c>
      <c r="D956" s="5">
        <v>489</v>
      </c>
      <c r="E956" s="35" t="s">
        <v>96</v>
      </c>
      <c r="F956" s="26" t="s">
        <v>589</v>
      </c>
      <c r="G956" s="215">
        <v>1134726000180</v>
      </c>
      <c r="H956" s="38">
        <v>9005.06</v>
      </c>
      <c r="I956" s="217">
        <v>46133</v>
      </c>
      <c r="J956" s="323" t="s">
        <v>91</v>
      </c>
      <c r="K956" s="26" t="s">
        <v>79</v>
      </c>
      <c r="L956" s="11">
        <v>46097</v>
      </c>
      <c r="M956" s="350" t="str">
        <f ca="1">IF(Tabela4[[#This Row],[RECOMPRADO]]="RECEBIDO","LIQUIDADO",IF(O956="LIQUIDADO","LIQUIDADO",IF(I956&lt;$I$5,"VENCIDO","A VENCER")))</f>
        <v>A VENCER</v>
      </c>
      <c r="N956" s="211">
        <f ca="1">IF(Tabela4[[#This Row],[STATUS]]="LIQUIDADO","",Tabela4[[#This Row],[VCTO]]-$I$5)</f>
        <v>35</v>
      </c>
      <c r="O956" s="5"/>
      <c r="P956" s="6"/>
      <c r="Q956" s="5"/>
      <c r="R956" s="5"/>
      <c r="S956" s="5"/>
      <c r="T956" s="26" t="s">
        <v>388</v>
      </c>
      <c r="U956" s="26"/>
      <c r="V956" s="5" t="s">
        <v>635</v>
      </c>
    </row>
    <row r="957" spans="1:22">
      <c r="A957" s="26" t="s">
        <v>0</v>
      </c>
      <c r="B957" s="11">
        <v>46094</v>
      </c>
      <c r="C957" s="351" t="s">
        <v>41</v>
      </c>
      <c r="D957" s="5">
        <v>489</v>
      </c>
      <c r="E957" s="35" t="s">
        <v>97</v>
      </c>
      <c r="F957" s="26" t="s">
        <v>589</v>
      </c>
      <c r="G957" s="215">
        <v>1134726000180</v>
      </c>
      <c r="H957" s="38">
        <v>9005.06</v>
      </c>
      <c r="I957" s="216">
        <v>46140</v>
      </c>
      <c r="J957" s="323" t="s">
        <v>91</v>
      </c>
      <c r="K957" s="26" t="s">
        <v>79</v>
      </c>
      <c r="L957" s="11">
        <v>46097</v>
      </c>
      <c r="M957" s="352" t="str">
        <f ca="1">IF(Tabela4[[#This Row],[RECOMPRADO]]="RECEBIDO","LIQUIDADO",IF(O957="LIQUIDADO","LIQUIDADO",IF(I957&lt;$I$5,"VENCIDO","A VENCER")))</f>
        <v>A VENCER</v>
      </c>
      <c r="N957" s="212">
        <f ca="1">IF(Tabela4[[#This Row],[STATUS]]="LIQUIDADO","",Tabela4[[#This Row],[VCTO]]-$I$5)</f>
        <v>42</v>
      </c>
      <c r="O957" s="26"/>
      <c r="P957" s="11"/>
      <c r="Q957" s="26"/>
      <c r="R957" s="26"/>
      <c r="S957" s="26"/>
      <c r="T957" s="26" t="s">
        <v>388</v>
      </c>
      <c r="U957" s="26"/>
      <c r="V957" s="5" t="s">
        <v>635</v>
      </c>
    </row>
    <row r="958" spans="1:22">
      <c r="A958" s="5" t="s">
        <v>0</v>
      </c>
      <c r="B958" s="6">
        <v>46094</v>
      </c>
      <c r="C958" s="349" t="s">
        <v>41</v>
      </c>
      <c r="D958" s="5">
        <v>485</v>
      </c>
      <c r="E958" s="10" t="s">
        <v>92</v>
      </c>
      <c r="F958" s="26" t="s">
        <v>589</v>
      </c>
      <c r="G958" s="215">
        <v>1134726000180</v>
      </c>
      <c r="H958" s="38">
        <v>21052.12</v>
      </c>
      <c r="I958" s="217">
        <v>46126</v>
      </c>
      <c r="J958" s="323" t="s">
        <v>91</v>
      </c>
      <c r="K958" s="26" t="s">
        <v>72</v>
      </c>
      <c r="L958" s="11">
        <v>46097</v>
      </c>
      <c r="M958" s="350" t="str">
        <f ca="1">IF(Tabela4[[#This Row],[RECOMPRADO]]="RECEBIDO","LIQUIDADO",IF(O958="LIQUIDADO","LIQUIDADO",IF(I958&lt;$I$5,"VENCIDO","A VENCER")))</f>
        <v>A VENCER</v>
      </c>
      <c r="N958" s="211">
        <f ca="1">IF(Tabela4[[#This Row],[STATUS]]="LIQUIDADO","",Tabela4[[#This Row],[VCTO]]-$I$5)</f>
        <v>28</v>
      </c>
      <c r="O958" s="5"/>
      <c r="P958" s="6"/>
      <c r="Q958" s="5"/>
      <c r="R958" s="5"/>
      <c r="S958" s="5"/>
      <c r="T958" s="26" t="s">
        <v>388</v>
      </c>
      <c r="U958" s="26"/>
      <c r="V958" s="5" t="s">
        <v>648</v>
      </c>
    </row>
    <row r="959" spans="1:22">
      <c r="A959" s="5" t="s">
        <v>0</v>
      </c>
      <c r="B959" s="6">
        <v>46094</v>
      </c>
      <c r="C959" s="349" t="s">
        <v>41</v>
      </c>
      <c r="D959" s="5">
        <v>485</v>
      </c>
      <c r="E959" s="10" t="s">
        <v>95</v>
      </c>
      <c r="F959" s="26" t="s">
        <v>589</v>
      </c>
      <c r="G959" s="215">
        <v>1134726000180</v>
      </c>
      <c r="H959" s="38">
        <v>12682</v>
      </c>
      <c r="I959" s="217">
        <v>46133</v>
      </c>
      <c r="J959" s="323" t="s">
        <v>91</v>
      </c>
      <c r="K959" s="26" t="s">
        <v>72</v>
      </c>
      <c r="L959" s="11">
        <v>46097</v>
      </c>
      <c r="M959" s="350" t="str">
        <f ca="1">IF(Tabela4[[#This Row],[RECOMPRADO]]="RECEBIDO","LIQUIDADO",IF(O959="LIQUIDADO","LIQUIDADO",IF(I959&lt;$I$5,"VENCIDO","A VENCER")))</f>
        <v>A VENCER</v>
      </c>
      <c r="N959" s="211">
        <f ca="1">IF(Tabela4[[#This Row],[STATUS]]="LIQUIDADO","",Tabela4[[#This Row],[VCTO]]-$I$5)</f>
        <v>35</v>
      </c>
      <c r="O959" s="5"/>
      <c r="P959" s="6"/>
      <c r="Q959" s="5"/>
      <c r="R959" s="5"/>
      <c r="S959" s="5"/>
      <c r="T959" s="26" t="s">
        <v>388</v>
      </c>
      <c r="U959" s="26"/>
      <c r="V959" s="5" t="s">
        <v>648</v>
      </c>
    </row>
    <row r="960" spans="1:22">
      <c r="A960" s="5" t="s">
        <v>0</v>
      </c>
      <c r="B960" s="6">
        <v>46094</v>
      </c>
      <c r="C960" s="349" t="s">
        <v>41</v>
      </c>
      <c r="D960" s="5">
        <v>485</v>
      </c>
      <c r="E960" s="10" t="s">
        <v>96</v>
      </c>
      <c r="F960" s="26" t="s">
        <v>589</v>
      </c>
      <c r="G960" s="215">
        <v>1134726000180</v>
      </c>
      <c r="H960" s="38">
        <v>12682</v>
      </c>
      <c r="I960" s="217">
        <v>46140</v>
      </c>
      <c r="J960" s="323" t="s">
        <v>91</v>
      </c>
      <c r="K960" s="26" t="s">
        <v>72</v>
      </c>
      <c r="L960" s="11">
        <v>46097</v>
      </c>
      <c r="M960" s="350" t="str">
        <f ca="1">IF(Tabela4[[#This Row],[RECOMPRADO]]="RECEBIDO","LIQUIDADO",IF(O960="LIQUIDADO","LIQUIDADO",IF(I960&lt;$I$5,"VENCIDO","A VENCER")))</f>
        <v>A VENCER</v>
      </c>
      <c r="N960" s="211">
        <f ca="1">IF(Tabela4[[#This Row],[STATUS]]="LIQUIDADO","",Tabela4[[#This Row],[VCTO]]-$I$5)</f>
        <v>42</v>
      </c>
      <c r="O960" s="5"/>
      <c r="P960" s="6"/>
      <c r="Q960" s="5"/>
      <c r="R960" s="5"/>
      <c r="S960" s="5"/>
      <c r="T960" s="26" t="s">
        <v>388</v>
      </c>
      <c r="U960" s="26"/>
      <c r="V960" s="5" t="s">
        <v>648</v>
      </c>
    </row>
    <row r="961" spans="1:22">
      <c r="A961" s="26" t="s">
        <v>0</v>
      </c>
      <c r="B961" s="11">
        <v>46094</v>
      </c>
      <c r="C961" s="351" t="s">
        <v>41</v>
      </c>
      <c r="D961" s="5">
        <v>485</v>
      </c>
      <c r="E961" s="35" t="s">
        <v>97</v>
      </c>
      <c r="F961" s="26" t="s">
        <v>589</v>
      </c>
      <c r="G961" s="215">
        <v>1134726000180</v>
      </c>
      <c r="H961" s="38">
        <v>12682</v>
      </c>
      <c r="I961" s="216">
        <v>46147</v>
      </c>
      <c r="J961" s="323" t="s">
        <v>91</v>
      </c>
      <c r="K961" s="26" t="s">
        <v>72</v>
      </c>
      <c r="L961" s="11">
        <v>46097</v>
      </c>
      <c r="M961" s="352" t="str">
        <f ca="1">IF(Tabela4[[#This Row],[RECOMPRADO]]="RECEBIDO","LIQUIDADO",IF(O961="LIQUIDADO","LIQUIDADO",IF(I961&lt;$I$5,"VENCIDO","A VENCER")))</f>
        <v>A VENCER</v>
      </c>
      <c r="N961" s="212">
        <f ca="1">IF(Tabela4[[#This Row],[STATUS]]="LIQUIDADO","",Tabela4[[#This Row],[VCTO]]-$I$5)</f>
        <v>49</v>
      </c>
      <c r="O961" s="26"/>
      <c r="P961" s="11"/>
      <c r="Q961" s="26"/>
      <c r="R961" s="26"/>
      <c r="S961" s="26"/>
      <c r="T961" s="26" t="s">
        <v>388</v>
      </c>
      <c r="U961" s="26"/>
      <c r="V961" s="5" t="s">
        <v>648</v>
      </c>
    </row>
    <row r="962" spans="1:22">
      <c r="A962" s="26" t="s">
        <v>0</v>
      </c>
      <c r="B962" s="11">
        <v>46094</v>
      </c>
      <c r="C962" s="351" t="s">
        <v>41</v>
      </c>
      <c r="D962" s="5">
        <v>485</v>
      </c>
      <c r="E962" s="35" t="s">
        <v>98</v>
      </c>
      <c r="F962" s="26" t="s">
        <v>589</v>
      </c>
      <c r="G962" s="215">
        <v>1134726000180</v>
      </c>
      <c r="H962" s="38">
        <v>12682</v>
      </c>
      <c r="I962" s="216">
        <v>46154</v>
      </c>
      <c r="J962" s="323" t="s">
        <v>91</v>
      </c>
      <c r="K962" s="26" t="s">
        <v>72</v>
      </c>
      <c r="L962" s="11">
        <v>46097</v>
      </c>
      <c r="M962" s="352" t="str">
        <f ca="1">IF(Tabela4[[#This Row],[RECOMPRADO]]="RECEBIDO","LIQUIDADO",IF(O962="LIQUIDADO","LIQUIDADO",IF(I962&lt;$I$5,"VENCIDO","A VENCER")))</f>
        <v>A VENCER</v>
      </c>
      <c r="N962" s="212">
        <f ca="1">IF(Tabela4[[#This Row],[STATUS]]="LIQUIDADO","",Tabela4[[#This Row],[VCTO]]-$I$5)</f>
        <v>56</v>
      </c>
      <c r="O962" s="26"/>
      <c r="P962" s="11"/>
      <c r="Q962" s="26"/>
      <c r="R962" s="26"/>
      <c r="S962" s="26"/>
      <c r="T962" s="26" t="s">
        <v>388</v>
      </c>
      <c r="U962" s="26"/>
      <c r="V962" s="5" t="s">
        <v>648</v>
      </c>
    </row>
    <row r="963" spans="1:22">
      <c r="A963" s="26" t="s">
        <v>0</v>
      </c>
      <c r="B963" s="11">
        <v>46094</v>
      </c>
      <c r="C963" s="351" t="s">
        <v>41</v>
      </c>
      <c r="D963" s="26">
        <v>491</v>
      </c>
      <c r="E963" s="35" t="s">
        <v>92</v>
      </c>
      <c r="F963" s="26" t="s">
        <v>633</v>
      </c>
      <c r="G963" s="215">
        <v>2883699000102</v>
      </c>
      <c r="H963" s="39">
        <v>2583.33</v>
      </c>
      <c r="I963" s="216">
        <v>46118</v>
      </c>
      <c r="J963" s="323" t="s">
        <v>91</v>
      </c>
      <c r="K963" s="26" t="s">
        <v>80</v>
      </c>
      <c r="L963" s="11">
        <v>46094</v>
      </c>
      <c r="M963" s="352" t="str">
        <f ca="1">IF(Tabela4[[#This Row],[RECOMPRADO]]="RECEBIDO","LIQUIDADO",IF(O963="LIQUIDADO","LIQUIDADO",IF(I963&lt;$I$5,"VENCIDO","A VENCER")))</f>
        <v>A VENCER</v>
      </c>
      <c r="N963" s="212">
        <f ca="1">IF(Tabela4[[#This Row],[STATUS]]="LIQUIDADO","",Tabela4[[#This Row],[VCTO]]-$I$5)</f>
        <v>20</v>
      </c>
      <c r="O963" s="26"/>
      <c r="P963" s="11"/>
      <c r="Q963" s="26"/>
      <c r="R963" s="26"/>
      <c r="S963" s="26"/>
      <c r="T963" s="26"/>
      <c r="U963" s="26"/>
      <c r="V963" s="5"/>
    </row>
    <row r="964" spans="1:22">
      <c r="A964" s="26" t="s">
        <v>0</v>
      </c>
      <c r="B964" s="11">
        <v>46094</v>
      </c>
      <c r="C964" s="351" t="s">
        <v>41</v>
      </c>
      <c r="D964" s="26">
        <v>491</v>
      </c>
      <c r="E964" s="35" t="s">
        <v>95</v>
      </c>
      <c r="F964" s="26" t="s">
        <v>633</v>
      </c>
      <c r="G964" s="215">
        <v>2883699000102</v>
      </c>
      <c r="H964" s="39">
        <v>2583.33</v>
      </c>
      <c r="I964" s="216">
        <v>46125</v>
      </c>
      <c r="J964" s="323" t="s">
        <v>91</v>
      </c>
      <c r="K964" s="26" t="s">
        <v>80</v>
      </c>
      <c r="L964" s="11">
        <v>46094</v>
      </c>
      <c r="M964" s="352" t="str">
        <f ca="1">IF(Tabela4[[#This Row],[RECOMPRADO]]="RECEBIDO","LIQUIDADO",IF(O964="LIQUIDADO","LIQUIDADO",IF(I964&lt;$I$5,"VENCIDO","A VENCER")))</f>
        <v>A VENCER</v>
      </c>
      <c r="N964" s="212">
        <f ca="1">IF(Tabela4[[#This Row],[STATUS]]="LIQUIDADO","",Tabela4[[#This Row],[VCTO]]-$I$5)</f>
        <v>27</v>
      </c>
      <c r="O964" s="26"/>
      <c r="P964" s="11"/>
      <c r="Q964" s="26"/>
      <c r="R964" s="26"/>
      <c r="S964" s="26"/>
      <c r="T964" s="26"/>
      <c r="U964" s="26"/>
      <c r="V964" s="5"/>
    </row>
    <row r="965" spans="1:22">
      <c r="A965" s="26" t="s">
        <v>0</v>
      </c>
      <c r="B965" s="11">
        <v>46094</v>
      </c>
      <c r="C965" s="351" t="s">
        <v>41</v>
      </c>
      <c r="D965" s="26">
        <v>491</v>
      </c>
      <c r="E965" s="35" t="s">
        <v>96</v>
      </c>
      <c r="F965" s="26" t="s">
        <v>633</v>
      </c>
      <c r="G965" s="215">
        <v>2883699000102</v>
      </c>
      <c r="H965" s="39">
        <v>2583.33</v>
      </c>
      <c r="I965" s="216">
        <v>46132</v>
      </c>
      <c r="J965" s="323" t="s">
        <v>91</v>
      </c>
      <c r="K965" s="26" t="s">
        <v>80</v>
      </c>
      <c r="L965" s="11">
        <v>46094</v>
      </c>
      <c r="M965" s="352" t="str">
        <f ca="1">IF(Tabela4[[#This Row],[RECOMPRADO]]="RECEBIDO","LIQUIDADO",IF(O965="LIQUIDADO","LIQUIDADO",IF(I965&lt;$I$5,"VENCIDO","A VENCER")))</f>
        <v>A VENCER</v>
      </c>
      <c r="N965" s="212">
        <f ca="1">IF(Tabela4[[#This Row],[STATUS]]="LIQUIDADO","",Tabela4[[#This Row],[VCTO]]-$I$5)</f>
        <v>34</v>
      </c>
      <c r="O965" s="26"/>
      <c r="P965" s="11"/>
      <c r="Q965" s="26"/>
      <c r="R965" s="26"/>
      <c r="S965" s="26"/>
      <c r="T965" s="26"/>
      <c r="U965" s="26"/>
      <c r="V965" s="5"/>
    </row>
    <row r="966" spans="1:22">
      <c r="A966" s="26" t="s">
        <v>0</v>
      </c>
      <c r="B966" s="11">
        <v>46094</v>
      </c>
      <c r="C966" s="351" t="s">
        <v>41</v>
      </c>
      <c r="D966" s="26">
        <v>493</v>
      </c>
      <c r="E966" s="10" t="s">
        <v>92</v>
      </c>
      <c r="F966" s="26" t="s">
        <v>35</v>
      </c>
      <c r="G966" s="215">
        <v>2493174000169</v>
      </c>
      <c r="H966" s="39">
        <v>3116</v>
      </c>
      <c r="I966" s="216">
        <v>46125</v>
      </c>
      <c r="J966" s="323" t="s">
        <v>91</v>
      </c>
      <c r="K966" s="26" t="s">
        <v>80</v>
      </c>
      <c r="L966" s="11">
        <v>46094</v>
      </c>
      <c r="M966" s="352" t="str">
        <f ca="1">IF(Tabela4[[#This Row],[RECOMPRADO]]="RECEBIDO","LIQUIDADO",IF(O966="LIQUIDADO","LIQUIDADO",IF(I966&lt;$I$5,"VENCIDO","A VENCER")))</f>
        <v>A VENCER</v>
      </c>
      <c r="N966" s="212">
        <f ca="1">IF(Tabela4[[#This Row],[STATUS]]="LIQUIDADO","",Tabela4[[#This Row],[VCTO]]-$I$5)</f>
        <v>27</v>
      </c>
      <c r="O966" s="26"/>
      <c r="P966" s="11"/>
      <c r="Q966" s="26"/>
      <c r="R966" s="26"/>
      <c r="S966" s="26"/>
      <c r="T966" s="26"/>
      <c r="U966" s="26"/>
      <c r="V966" s="5"/>
    </row>
    <row r="967" spans="1:22">
      <c r="A967" s="26" t="s">
        <v>0</v>
      </c>
      <c r="B967" s="11">
        <v>46094</v>
      </c>
      <c r="C967" s="351" t="s">
        <v>41</v>
      </c>
      <c r="D967" s="26">
        <v>493</v>
      </c>
      <c r="E967" s="10" t="s">
        <v>95</v>
      </c>
      <c r="F967" s="26" t="s">
        <v>35</v>
      </c>
      <c r="G967" s="215">
        <v>2493174000169</v>
      </c>
      <c r="H967" s="39">
        <v>3116</v>
      </c>
      <c r="I967" s="216">
        <v>46132</v>
      </c>
      <c r="J967" s="323" t="s">
        <v>91</v>
      </c>
      <c r="K967" s="26" t="s">
        <v>80</v>
      </c>
      <c r="L967" s="11">
        <v>46094</v>
      </c>
      <c r="M967" s="352" t="str">
        <f ca="1">IF(Tabela4[[#This Row],[RECOMPRADO]]="RECEBIDO","LIQUIDADO",IF(O967="LIQUIDADO","LIQUIDADO",IF(I967&lt;$I$5,"VENCIDO","A VENCER")))</f>
        <v>A VENCER</v>
      </c>
      <c r="N967" s="212">
        <f ca="1">IF(Tabela4[[#This Row],[STATUS]]="LIQUIDADO","",Tabela4[[#This Row],[VCTO]]-$I$5)</f>
        <v>34</v>
      </c>
      <c r="O967" s="26"/>
      <c r="P967" s="11"/>
      <c r="Q967" s="26"/>
      <c r="R967" s="26"/>
      <c r="S967" s="26"/>
      <c r="T967" s="26"/>
      <c r="U967" s="26"/>
      <c r="V967" s="5"/>
    </row>
    <row r="968" spans="1:22">
      <c r="A968" s="26" t="s">
        <v>0</v>
      </c>
      <c r="B968" s="11">
        <v>46094</v>
      </c>
      <c r="C968" s="351" t="s">
        <v>41</v>
      </c>
      <c r="D968" s="26">
        <v>493</v>
      </c>
      <c r="E968" s="10" t="s">
        <v>96</v>
      </c>
      <c r="F968" s="26" t="s">
        <v>35</v>
      </c>
      <c r="G968" s="215">
        <v>2493174000169</v>
      </c>
      <c r="H968" s="39">
        <v>3116</v>
      </c>
      <c r="I968" s="216">
        <v>46139</v>
      </c>
      <c r="J968" s="323" t="s">
        <v>91</v>
      </c>
      <c r="K968" s="26" t="s">
        <v>80</v>
      </c>
      <c r="L968" s="11">
        <v>46094</v>
      </c>
      <c r="M968" s="352" t="str">
        <f ca="1">IF(Tabela4[[#This Row],[RECOMPRADO]]="RECEBIDO","LIQUIDADO",IF(O968="LIQUIDADO","LIQUIDADO",IF(I968&lt;$I$5,"VENCIDO","A VENCER")))</f>
        <v>A VENCER</v>
      </c>
      <c r="N968" s="212">
        <f ca="1">IF(Tabela4[[#This Row],[STATUS]]="LIQUIDADO","",Tabela4[[#This Row],[VCTO]]-$I$5)</f>
        <v>41</v>
      </c>
      <c r="O968" s="26"/>
      <c r="P968" s="11"/>
      <c r="Q968" s="26"/>
      <c r="R968" s="26"/>
      <c r="S968" s="26"/>
      <c r="T968" s="26"/>
      <c r="U968" s="26"/>
      <c r="V968" s="5"/>
    </row>
    <row r="969" spans="1:22">
      <c r="A969" s="26" t="s">
        <v>0</v>
      </c>
      <c r="B969" s="11">
        <v>46094</v>
      </c>
      <c r="C969" s="351" t="s">
        <v>41</v>
      </c>
      <c r="D969" s="26">
        <v>493</v>
      </c>
      <c r="E969" s="35" t="s">
        <v>97</v>
      </c>
      <c r="F969" s="26" t="s">
        <v>35</v>
      </c>
      <c r="G969" s="215">
        <v>2493174000169</v>
      </c>
      <c r="H969" s="39">
        <v>3116</v>
      </c>
      <c r="I969" s="216">
        <v>46146</v>
      </c>
      <c r="J969" s="323" t="s">
        <v>91</v>
      </c>
      <c r="K969" s="26" t="s">
        <v>80</v>
      </c>
      <c r="L969" s="11">
        <v>46094</v>
      </c>
      <c r="M969" s="352" t="str">
        <f ca="1">IF(Tabela4[[#This Row],[RECOMPRADO]]="RECEBIDO","LIQUIDADO",IF(O969="LIQUIDADO","LIQUIDADO",IF(I969&lt;$I$5,"VENCIDO","A VENCER")))</f>
        <v>A VENCER</v>
      </c>
      <c r="N969" s="212">
        <f ca="1">IF(Tabela4[[#This Row],[STATUS]]="LIQUIDADO","",Tabela4[[#This Row],[VCTO]]-$I$5)</f>
        <v>48</v>
      </c>
      <c r="O969" s="26"/>
      <c r="P969" s="11"/>
      <c r="Q969" s="26"/>
      <c r="R969" s="26"/>
      <c r="S969" s="26"/>
      <c r="T969" s="26"/>
      <c r="U969" s="26"/>
      <c r="V969" s="5"/>
    </row>
    <row r="970" spans="1:22">
      <c r="A970" s="26" t="s">
        <v>0</v>
      </c>
      <c r="B970" s="11">
        <v>46094</v>
      </c>
      <c r="C970" s="351" t="s">
        <v>41</v>
      </c>
      <c r="D970" s="26">
        <v>493</v>
      </c>
      <c r="E970" s="35" t="s">
        <v>98</v>
      </c>
      <c r="F970" s="26" t="s">
        <v>35</v>
      </c>
      <c r="G970" s="215">
        <v>2493174000169</v>
      </c>
      <c r="H970" s="39">
        <v>3116</v>
      </c>
      <c r="I970" s="216">
        <v>46153</v>
      </c>
      <c r="J970" s="323" t="s">
        <v>91</v>
      </c>
      <c r="K970" s="26" t="s">
        <v>80</v>
      </c>
      <c r="L970" s="11">
        <v>46094</v>
      </c>
      <c r="M970" s="352" t="str">
        <f ca="1">IF(Tabela4[[#This Row],[RECOMPRADO]]="RECEBIDO","LIQUIDADO",IF(O970="LIQUIDADO","LIQUIDADO",IF(I970&lt;$I$5,"VENCIDO","A VENCER")))</f>
        <v>A VENCER</v>
      </c>
      <c r="N970" s="212">
        <f ca="1">IF(Tabela4[[#This Row],[STATUS]]="LIQUIDADO","",Tabela4[[#This Row],[VCTO]]-$I$5)</f>
        <v>55</v>
      </c>
      <c r="O970" s="26"/>
      <c r="P970" s="11"/>
      <c r="Q970" s="26"/>
      <c r="R970" s="26"/>
      <c r="S970" s="26"/>
      <c r="T970" s="26"/>
      <c r="U970" s="26"/>
      <c r="V970" s="5"/>
    </row>
  </sheetData>
  <mergeCells count="4">
    <mergeCell ref="A6:F6"/>
    <mergeCell ref="K6:L6"/>
    <mergeCell ref="O6:P6"/>
    <mergeCell ref="Q6:R6"/>
  </mergeCells>
  <phoneticPr fontId="43" type="noConversion"/>
  <conditionalFormatting sqref="A539:B539 A541:B541 A543:B543 A545:B545 A547:B547 A549:B549 A552:B552 A554:B554 A556:B556 A558:B558 A560:B560 A562:B562 A564:B564 A566:B566 A568:B568 A570:B570 A572:B572 A574:B574 A576:B576 A578:B578 A580:B580 A582:B582 A584:B584 A586:B586 A588:B588 A590:B590 A592:B592 A594:B594 A596:B597 A599:B599 A601:B601 A603:B603 A605:B605 A607:B607 A609:B609 A612:B612 A11:D17 E11:F27 I8:I261 J8:J477 H8:H634 M208:S209 M223:S224 M90:S92 M132:S132 M152:S153 M164:S164 L243:S252 M241:S242 L93:S131 L133:S151 L154:S163 L225:S240 L165:S207 L210:S222 L8:S89 L517:S526 P253:S421 Q422:S424 P425:S516">
    <cfRule type="expression" dxfId="112" priority="96">
      <formula>#REF!="TROCADO"</formula>
    </cfRule>
  </conditionalFormatting>
  <conditionalFormatting sqref="A618:B634">
    <cfRule type="expression" dxfId="111" priority="61">
      <formula>#REF!="TROCADO"</formula>
    </cfRule>
  </conditionalFormatting>
  <conditionalFormatting sqref="A636:B637">
    <cfRule type="expression" dxfId="110" priority="54">
      <formula>#REF!="TROCADO"</formula>
    </cfRule>
  </conditionalFormatting>
  <conditionalFormatting sqref="A638:C638">
    <cfRule type="expression" dxfId="109" priority="45">
      <formula>#REF!="TROCADO"</formula>
    </cfRule>
  </conditionalFormatting>
  <conditionalFormatting sqref="O253:O255 O257:O261 O276:O280 O282:O286 O288:O292 O294:O298 O300:O304 O306:O310 O312:O316 O318:O322 O324:O328 O330:O334 O336:O340 O342:O346 O348:O352 O354:O358 O360:O364 O366:O370 O372:O376 O378:O382 O389:O393 O395:O399 O401:O405 O407:O411 O413:O417 O419:O423 O425:O429 O431:O435 O437:O441 O443:O447 O449:O453 O455:O459 O461:O465 O467:O471 O473:O477 O479:O483 O485:O489 O491:O495 O497:O501 O503:O507 O509:O513 O515:O516">
    <cfRule type="expression" dxfId="108" priority="176">
      <formula>#REF!="TROCADO"</formula>
    </cfRule>
  </conditionalFormatting>
  <conditionalFormatting sqref="A18:B18 D18 A19:D20 A21:B26 D21:D26 A27:D27">
    <cfRule type="expression" dxfId="107" priority="183">
      <formula>#REF!="TROCADO"</formula>
    </cfRule>
  </conditionalFormatting>
  <conditionalFormatting sqref="A508:D508">
    <cfRule type="expression" dxfId="106" priority="156">
      <formula>#REF!="TROCADO"</formula>
    </cfRule>
  </conditionalFormatting>
  <conditionalFormatting sqref="A511:D516">
    <cfRule type="expression" dxfId="105" priority="110">
      <formula>#REF!="TROCADO"</formula>
    </cfRule>
  </conditionalFormatting>
  <conditionalFormatting sqref="A639:D642">
    <cfRule type="expression" dxfId="104" priority="35">
      <formula>#REF!="TROCADO"</formula>
    </cfRule>
  </conditionalFormatting>
  <conditionalFormatting sqref="A658:D659">
    <cfRule type="expression" dxfId="103" priority="30">
      <formula>#REF!="TROCADO"</formula>
    </cfRule>
  </conditionalFormatting>
  <conditionalFormatting sqref="A8:F10">
    <cfRule type="expression" dxfId="102" priority="283">
      <formula>#REF!="TROCADO"</formula>
    </cfRule>
  </conditionalFormatting>
  <conditionalFormatting sqref="A28:F247 A248:E254 F248:F261 C255:C477 E255:E503 O384:O387 A402:B497 J741:J746 L253:N274 M275:N276 L277:N516">
    <cfRule type="expression" dxfId="101" priority="164">
      <formula>#REF!="TROCADO"</formula>
    </cfRule>
  </conditionalFormatting>
  <conditionalFormatting sqref="A510:H510">
    <cfRule type="expression" dxfId="100" priority="148">
      <formula>#REF!="TROCADO"</formula>
    </cfRule>
  </conditionalFormatting>
  <conditionalFormatting sqref="C7:C10 C28:C507 F532:F535 C617:C637 C639:C1048576">
    <cfRule type="cellIs" dxfId="99" priority="304" operator="equal">
      <formula>"F9"</formula>
    </cfRule>
  </conditionalFormatting>
  <conditionalFormatting sqref="C18">
    <cfRule type="expression" dxfId="98" priority="174">
      <formula>#REF!="TROCADO"</formula>
    </cfRule>
    <cfRule type="cellIs" dxfId="97" priority="175" operator="equal">
      <formula>"F9"</formula>
    </cfRule>
  </conditionalFormatting>
  <conditionalFormatting sqref="C21:C26">
    <cfRule type="expression" dxfId="96" priority="162">
      <formula>#REF!="TROCADO"</formula>
    </cfRule>
    <cfRule type="cellIs" dxfId="95" priority="163" operator="equal">
      <formula>"F9"</formula>
    </cfRule>
  </conditionalFormatting>
  <conditionalFormatting sqref="C509">
    <cfRule type="expression" dxfId="94" priority="153">
      <formula>#REF!="TROCADO"</formula>
    </cfRule>
  </conditionalFormatting>
  <conditionalFormatting sqref="C509:C614">
    <cfRule type="cellIs" dxfId="93" priority="154" operator="equal">
      <formula>"F9"</formula>
    </cfRule>
  </conditionalFormatting>
  <conditionalFormatting sqref="C741:C746 E741:E746">
    <cfRule type="expression" dxfId="92" priority="25">
      <formula>#REF!="TROCADO"</formula>
    </cfRule>
  </conditionalFormatting>
  <conditionalFormatting sqref="D402:D491">
    <cfRule type="expression" dxfId="91" priority="218">
      <formula>#REF!="TROCADO"</formula>
    </cfRule>
  </conditionalFormatting>
  <conditionalFormatting sqref="D638">
    <cfRule type="expression" dxfId="90" priority="42">
      <formula>#REF!="TROCADO"</formula>
    </cfRule>
  </conditionalFormatting>
  <conditionalFormatting sqref="E509">
    <cfRule type="expression" dxfId="89" priority="152">
      <formula>#REF!="TROCADO"</formula>
    </cfRule>
  </conditionalFormatting>
  <conditionalFormatting sqref="E508:H508">
    <cfRule type="expression" dxfId="88" priority="158">
      <formula>#REF!="TROCADO"</formula>
    </cfRule>
  </conditionalFormatting>
  <conditionalFormatting sqref="F402:F497">
    <cfRule type="expression" dxfId="87" priority="187">
      <formula>#REF!="TROCADO"</formula>
    </cfRule>
  </conditionalFormatting>
  <conditionalFormatting sqref="F511:F516">
    <cfRule type="expression" dxfId="86" priority="109">
      <formula>#REF!="TROCADO"</formula>
    </cfRule>
  </conditionalFormatting>
  <conditionalFormatting sqref="F538 F540 F542 F544 F546 F548 F550:F551 F553 F555 F557 F559 F561 F563 F565 F567 F569 F571 F573 F575 F577 F579 F581 F583 F585 F587 F589 F591 F593 F595 F598 F600 F602 F604 F606 F608 F610:F611">
    <cfRule type="cellIs" dxfId="85" priority="95" operator="equal">
      <formula>"F9"</formula>
    </cfRule>
  </conditionalFormatting>
  <conditionalFormatting sqref="F539 F541 F543 F545 F547 F549 F552 F554 F556 F558 F560 F562 F564 F566 F568 F570 F572 F574 F576 F578 F580 F582 F584 F586 F588 F590 F592 F594 F596:F597 F599 F601 F603 F605 F607 F609 F612">
    <cfRule type="expression" dxfId="84" priority="94">
      <formula>#REF!="TROCADO"</formula>
    </cfRule>
  </conditionalFormatting>
  <conditionalFormatting sqref="F613">
    <cfRule type="cellIs" dxfId="83" priority="87" operator="equal">
      <formula>"F9"</formula>
    </cfRule>
  </conditionalFormatting>
  <conditionalFormatting sqref="F614:F616">
    <cfRule type="expression" dxfId="82" priority="83">
      <formula>#REF!="TROCADO"</formula>
    </cfRule>
  </conditionalFormatting>
  <conditionalFormatting sqref="F623:F634">
    <cfRule type="expression" dxfId="81" priority="55">
      <formula>#REF!="TROCADO"</formula>
    </cfRule>
  </conditionalFormatting>
  <conditionalFormatting sqref="F636:F637">
    <cfRule type="expression" dxfId="80" priority="51">
      <formula>#REF!="TROCADO"</formula>
    </cfRule>
  </conditionalFormatting>
  <conditionalFormatting sqref="F639:F642">
    <cfRule type="expression" dxfId="79" priority="32">
      <formula>#REF!="TROCADO"</formula>
    </cfRule>
  </conditionalFormatting>
  <conditionalFormatting sqref="F658:F659">
    <cfRule type="expression" dxfId="78" priority="29">
      <formula>#REF!="TROCADO"</formula>
    </cfRule>
  </conditionalFormatting>
  <conditionalFormatting sqref="F893:F895">
    <cfRule type="expression" dxfId="77" priority="17">
      <formula>#REF!="TROCADO"</formula>
    </cfRule>
  </conditionalFormatting>
  <conditionalFormatting sqref="F617:G622">
    <cfRule type="expression" dxfId="76" priority="72">
      <formula>#REF!="TROCADO"</formula>
    </cfRule>
  </conditionalFormatting>
  <conditionalFormatting sqref="G242:G245">
    <cfRule type="expression" dxfId="75" priority="173">
      <formula>#REF!="TROCADO"</formula>
    </cfRule>
  </conditionalFormatting>
  <conditionalFormatting sqref="G255">
    <cfRule type="expression" dxfId="74" priority="178">
      <formula>#REF!="TROCADO"</formula>
    </cfRule>
  </conditionalFormatting>
  <conditionalFormatting sqref="G277:G282">
    <cfRule type="expression" dxfId="73" priority="167">
      <formula>#REF!="TROCADO"</formula>
    </cfRule>
  </conditionalFormatting>
  <conditionalFormatting sqref="G407">
    <cfRule type="expression" dxfId="72" priority="182">
      <formula>#REF!="TROCADO"</formula>
    </cfRule>
  </conditionalFormatting>
  <conditionalFormatting sqref="G536 F536:F537">
    <cfRule type="expression" dxfId="71" priority="98">
      <formula>#REF!="TROCADO"</formula>
    </cfRule>
  </conditionalFormatting>
  <conditionalFormatting sqref="G636:G637">
    <cfRule type="expression" dxfId="70" priority="49">
      <formula>#REF!="TROCADO"</formula>
    </cfRule>
  </conditionalFormatting>
  <conditionalFormatting sqref="G893:G895">
    <cfRule type="expression" dxfId="69" priority="14">
      <formula>#REF!="TROCADO"</formula>
    </cfRule>
  </conditionalFormatting>
  <conditionalFormatting sqref="H636:H640">
    <cfRule type="expression" dxfId="68" priority="38">
      <formula>#REF!="TROCADO"</formula>
    </cfRule>
  </conditionalFormatting>
  <conditionalFormatting sqref="H658:H659">
    <cfRule type="expression" dxfId="67" priority="28">
      <formula>#REF!="TROCADO"</formula>
    </cfRule>
  </conditionalFormatting>
  <conditionalFormatting sqref="H893:H895">
    <cfRule type="expression" dxfId="66" priority="11">
      <formula>#REF!="TROCADO"</formula>
    </cfRule>
  </conditionalFormatting>
  <conditionalFormatting sqref="I508:J508 I510:J510 A536:B537">
    <cfRule type="expression" dxfId="65" priority="103">
      <formula>#REF!="TROCADO"</formula>
    </cfRule>
  </conditionalFormatting>
  <conditionalFormatting sqref="I402:I497">
    <cfRule type="expression" dxfId="64" priority="184">
      <formula>#REF!="TROCADO"</formula>
    </cfRule>
  </conditionalFormatting>
  <conditionalFormatting sqref="I504 I506">
    <cfRule type="expression" dxfId="63" priority="24">
      <formula>#REF!="TROCADO"</formula>
    </cfRule>
  </conditionalFormatting>
  <conditionalFormatting sqref="I615:I626">
    <cfRule type="expression" dxfId="62" priority="67">
      <formula>#REF!="TROCADO"</formula>
    </cfRule>
  </conditionalFormatting>
  <conditionalFormatting sqref="I893:I895">
    <cfRule type="expression" dxfId="61" priority="10">
      <formula>#REF!="TROCADO"</formula>
    </cfRule>
  </conditionalFormatting>
  <conditionalFormatting sqref="J509">
    <cfRule type="expression" dxfId="60" priority="155">
      <formula>#REF!="TROCADO"</formula>
    </cfRule>
  </conditionalFormatting>
  <conditionalFormatting sqref="J658:J659">
    <cfRule type="expression" dxfId="59" priority="26">
      <formula>#REF!="TROCADO"</formula>
    </cfRule>
  </conditionalFormatting>
  <conditionalFormatting sqref="K409:K477">
    <cfRule type="expression" dxfId="58" priority="207">
      <formula>#REF!="TROCADO"</formula>
    </cfRule>
  </conditionalFormatting>
  <conditionalFormatting sqref="A255:B261 D255:D261">
    <cfRule type="expression" dxfId="57" priority="234">
      <formula>#REF!="TROCADO"</formula>
    </cfRule>
  </conditionalFormatting>
  <conditionalFormatting sqref="M560">
    <cfRule type="expression" dxfId="56" priority="23">
      <formula>#REF!="TROCADO"</formula>
    </cfRule>
  </conditionalFormatting>
  <conditionalFormatting sqref="M3:N5 M6:M7 N560 M8:N559 M561:N1048576">
    <cfRule type="cellIs" dxfId="55" priority="250" operator="equal">
      <formula>"LIQUIDADO"</formula>
    </cfRule>
    <cfRule type="cellIs" dxfId="54" priority="300" operator="equal">
      <formula>"VENCIDO"</formula>
    </cfRule>
    <cfRule type="cellIs" dxfId="53" priority="301" operator="equal">
      <formula>"A VENCER"</formula>
    </cfRule>
  </conditionalFormatting>
  <conditionalFormatting sqref="N6">
    <cfRule type="cellIs" dxfId="52" priority="237" operator="equal">
      <formula>"LIQUIDADO"</formula>
    </cfRule>
    <cfRule type="expression" dxfId="51" priority="238">
      <formula>#REF!="TROCADO"</formula>
    </cfRule>
    <cfRule type="cellIs" dxfId="50" priority="240" operator="equal">
      <formula>"VENCIDO"</formula>
    </cfRule>
    <cfRule type="cellIs" dxfId="49" priority="241" operator="equal">
      <formula>"A VENCER"</formula>
    </cfRule>
  </conditionalFormatting>
  <conditionalFormatting sqref="N3:N5 N8:N1048576">
    <cfRule type="cellIs" dxfId="48" priority="244" operator="greaterThan">
      <formula>1</formula>
    </cfRule>
    <cfRule type="cellIs" dxfId="47" priority="245" operator="lessThan">
      <formula>0</formula>
    </cfRule>
  </conditionalFormatting>
  <conditionalFormatting sqref="N188">
    <cfRule type="expression" dxfId="46" priority="20">
      <formula>#REF!="TROCADO"</formula>
    </cfRule>
  </conditionalFormatting>
  <conditionalFormatting sqref="O263:O270 O272:O274 A614:B616">
    <cfRule type="expression" dxfId="45" priority="84">
      <formula>#REF!="TROCADO"</formula>
    </cfRule>
  </conditionalFormatting>
  <conditionalFormatting sqref="Q8:S970">
    <cfRule type="cellIs" dxfId="44" priority="251" operator="equal">
      <formula>"RECEBIDO"</formula>
    </cfRule>
    <cfRule type="cellIs" dxfId="43" priority="252" operator="equal">
      <formula>"A RECEBER"</formula>
    </cfRule>
    <cfRule type="expression" dxfId="42" priority="253">
      <formula>"SE+$O$4=""RECOMPRADO"""</formula>
    </cfRule>
  </conditionalFormatting>
  <conditionalFormatting sqref="F913">
    <cfRule type="expression" dxfId="41" priority="9">
      <formula>#REF!="TROCADO"</formula>
    </cfRule>
  </conditionalFormatting>
  <conditionalFormatting sqref="L208">
    <cfRule type="expression" dxfId="40" priority="8">
      <formula>#REF!="TROCADO"</formula>
    </cfRule>
  </conditionalFormatting>
  <conditionalFormatting sqref="L209">
    <cfRule type="expression" dxfId="39" priority="7">
      <formula>#REF!="TROCADO"</formula>
    </cfRule>
  </conditionalFormatting>
  <conditionalFormatting sqref="L223">
    <cfRule type="expression" dxfId="38" priority="6">
      <formula>#REF!="TROCADO"</formula>
    </cfRule>
  </conditionalFormatting>
  <conditionalFormatting sqref="L224">
    <cfRule type="expression" dxfId="37" priority="5">
      <formula>#REF!="TROCADO"</formula>
    </cfRule>
  </conditionalFormatting>
  <conditionalFormatting sqref="L90:L92 L132">
    <cfRule type="expression" dxfId="36" priority="4">
      <formula>#REF!="TROCADO"</formula>
    </cfRule>
  </conditionalFormatting>
  <conditionalFormatting sqref="L152:L153 L164 L241:L242 L275:L276">
    <cfRule type="expression" dxfId="35" priority="3">
      <formula>#REF!="TROCADO"</formula>
    </cfRule>
  </conditionalFormatting>
  <conditionalFormatting sqref="L632">
    <cfRule type="expression" dxfId="34" priority="2">
      <formula>#REF!="TROCADO"</formula>
    </cfRule>
  </conditionalFormatting>
  <conditionalFormatting sqref="L633">
    <cfRule type="expression" dxfId="33" priority="1">
      <formula>#REF!="TROCADO"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2000000}">
          <x14:formula1>
            <xm:f>BASE!$A$2:$A$14</xm:f>
          </x14:formula1>
          <xm:sqref>K613:K616 K7:K540 K620:K1048576</xm:sqref>
        </x14:dataValidation>
        <x14:dataValidation type="list" allowBlank="1" showInputMessage="1" showErrorMessage="1" xr:uid="{00000000-0002-0000-0300-000000000000}">
          <x14:formula1>
            <xm:f>BASE!$D$2:$D$7</xm:f>
          </x14:formula1>
          <xm:sqref>M560 O8:O970</xm:sqref>
        </x14:dataValidation>
        <x14:dataValidation type="list" allowBlank="1" showInputMessage="1" showErrorMessage="1" xr:uid="{00000000-0002-0000-0300-000001000000}">
          <x14:formula1>
            <xm:f>BASE!$E$2:$E$4</xm:f>
          </x14:formula1>
          <xm:sqref>Q8:R970</xm:sqref>
        </x14:dataValidation>
        <x14:dataValidation type="list" allowBlank="1" showInputMessage="1" showErrorMessage="1" xr:uid="{00000000-0002-0000-0300-000003000000}">
          <x14:formula1>
            <xm:f>BASE!$C$2:$C$6</xm:f>
          </x14:formula1>
          <xm:sqref>J1:J1048576</xm:sqref>
        </x14:dataValidation>
        <x14:dataValidation type="list" allowBlank="1" showInputMessage="1" showErrorMessage="1" xr:uid="{00000000-0002-0000-0300-000004000000}">
          <x14:formula1>
            <xm:f>BASE!$F$2:$F$4</xm:f>
          </x14:formula1>
          <xm:sqref>S8:S1048576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showGridLines="0" zoomScaleNormal="100" workbookViewId="0">
      <pane ySplit="12" topLeftCell="A13" activePane="bottomLeft" state="frozen"/>
      <selection pane="bottomLeft"/>
    </sheetView>
  </sheetViews>
  <sheetFormatPr defaultColWidth="0" defaultRowHeight="18" zeroHeight="1"/>
  <cols>
    <col min="1" max="2" width="10.7109375" style="112" customWidth="1"/>
    <col min="3" max="3" width="9.7109375" style="112" customWidth="1"/>
    <col min="4" max="7" width="20.7109375" style="112" customWidth="1"/>
    <col min="8" max="10" width="9.7109375" style="112" customWidth="1"/>
    <col min="11" max="16384" width="9.140625" style="112" hidden="1"/>
  </cols>
  <sheetData>
    <row r="1" spans="1:8">
      <c r="A1" s="112">
        <v>3</v>
      </c>
    </row>
    <row r="2" spans="1:8"/>
    <row r="3" spans="1:8"/>
    <row r="4" spans="1:8" ht="19.5" thickBot="1">
      <c r="D4" s="115"/>
      <c r="E4" s="115"/>
      <c r="F4" s="115"/>
      <c r="G4" s="115"/>
      <c r="H4" s="113"/>
    </row>
    <row r="5" spans="1:8" ht="18.75" customHeight="1" thickBot="1">
      <c r="D5" s="335" t="s">
        <v>82</v>
      </c>
      <c r="E5" s="336"/>
      <c r="F5" s="336"/>
      <c r="G5" s="337"/>
    </row>
    <row r="6" spans="1:8" ht="18.75" thickBot="1">
      <c r="D6" s="123" t="s">
        <v>40</v>
      </c>
      <c r="E6" s="124" t="s">
        <v>41</v>
      </c>
      <c r="F6" s="124" t="s">
        <v>43</v>
      </c>
      <c r="G6" s="125" t="s">
        <v>103</v>
      </c>
    </row>
    <row r="7" spans="1:8">
      <c r="D7" s="141" t="s">
        <v>0</v>
      </c>
      <c r="E7" s="142">
        <f>SUMIFS(FATURAMENTO!$H:$H,FATURAMENTO!$C:$C,DISPONÍVEL!E6,FATURAMENTO!$A:$A,DISPONÍVEL!D7,FATURAMENTO!$J:$J,DISPONÍVEL!$D$5)</f>
        <v>0</v>
      </c>
      <c r="F7" s="143">
        <f>SUMIFS(FATURAMENTO!$H:$H,FATURAMENTO!$C:$C,DISPONÍVEL!F6,FATURAMENTO!$A:$A,D7,FATURAMENTO!$J:$J,DISPONÍVEL!$D$5)</f>
        <v>0</v>
      </c>
      <c r="G7" s="144">
        <f>E7+F7</f>
        <v>0</v>
      </c>
    </row>
    <row r="8" spans="1:8">
      <c r="D8" s="126" t="s">
        <v>108</v>
      </c>
      <c r="E8" s="242">
        <f>SUMIFS(FATURAMENTO!$H:$H,FATURAMENTO!$C:$C,E6,FATURAMENTO!$A:$A,DISPONÍVEL!D8,FATURAMENTO!$J:$J,DISPONÍVEL!$D$5)</f>
        <v>0</v>
      </c>
      <c r="F8" s="243">
        <f>SUMIFS(FATURAMENTO!$H:$H,FATURAMENTO!$C:$C,F6,FATURAMENTO!$A:$A,D8,FATURAMENTO!$J:$J,DISPONÍVEL!$D$5)</f>
        <v>0</v>
      </c>
      <c r="G8" s="244">
        <f t="shared" ref="G8:G9" si="0">E8+F8</f>
        <v>0</v>
      </c>
    </row>
    <row r="9" spans="1:8">
      <c r="D9" s="141" t="s">
        <v>7</v>
      </c>
      <c r="E9" s="142">
        <f>SUMIFS(FATURAMENTO!$H:$H,FATURAMENTO!$C:$C,E6,FATURAMENTO!$A:$A,DISPONÍVEL!D9,FATURAMENTO!$J:$J,DISPONÍVEL!$D$5)</f>
        <v>0</v>
      </c>
      <c r="F9" s="143">
        <f>SUMIFS(FATURAMENTO!$H:$H,FATURAMENTO!$C:$C,F6,FATURAMENTO!$A:$A,D9,FATURAMENTO!$J:$J,DISPONÍVEL!$D$5)</f>
        <v>0</v>
      </c>
      <c r="G9" s="144">
        <f t="shared" si="0"/>
        <v>0</v>
      </c>
    </row>
    <row r="10" spans="1:8" ht="18.75" thickBot="1">
      <c r="D10" s="127"/>
      <c r="E10" s="128">
        <f>SUM(E7:E9)</f>
        <v>0</v>
      </c>
      <c r="F10" s="128">
        <f>SUM(F7:F9)</f>
        <v>0</v>
      </c>
      <c r="G10" s="129">
        <f>E10+F10</f>
        <v>0</v>
      </c>
    </row>
    <row r="11" spans="1:8"/>
    <row r="12" spans="1:8"/>
    <row r="13" spans="1:8"/>
  </sheetData>
  <mergeCells count="1">
    <mergeCell ref="D5:G5"/>
  </mergeCells>
  <conditionalFormatting sqref="D5">
    <cfRule type="cellIs" dxfId="32" priority="9" operator="equal">
      <formula>"VENCIDO"</formula>
    </cfRule>
    <cfRule type="cellIs" dxfId="31" priority="10" operator="equal">
      <formula>"A VENCER"</formula>
    </cfRule>
    <cfRule type="expression" dxfId="30" priority="11">
      <formula>#REF!="TROCADO"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showGridLines="0" zoomScaleNormal="100" workbookViewId="0">
      <pane ySplit="12" topLeftCell="A13" activePane="bottomLeft" state="frozen"/>
      <selection pane="bottomLeft"/>
    </sheetView>
  </sheetViews>
  <sheetFormatPr defaultColWidth="0" defaultRowHeight="18" zeroHeight="1"/>
  <cols>
    <col min="1" max="3" width="9.7109375" style="112" customWidth="1"/>
    <col min="4" max="7" width="20.7109375" style="112" customWidth="1"/>
    <col min="8" max="8" width="0.85546875" style="114" customWidth="1"/>
    <col min="9" max="9" width="27.28515625" style="112" customWidth="1"/>
    <col min="10" max="12" width="9.7109375" style="112" customWidth="1"/>
    <col min="13" max="16384" width="9.140625" style="112" hidden="1"/>
  </cols>
  <sheetData>
    <row r="1" spans="4:9"/>
    <row r="2" spans="4:9"/>
    <row r="3" spans="4:9"/>
    <row r="4" spans="4:9" ht="19.5" thickBot="1">
      <c r="D4" s="113"/>
      <c r="E4" s="113"/>
      <c r="F4" s="113"/>
      <c r="G4" s="113"/>
      <c r="I4" s="113"/>
    </row>
    <row r="5" spans="4:9" ht="18.75" customHeight="1" thickBot="1">
      <c r="D5" s="335" t="s">
        <v>159</v>
      </c>
      <c r="E5" s="336"/>
      <c r="F5" s="336"/>
      <c r="G5" s="336"/>
      <c r="H5" s="336"/>
      <c r="I5" s="337"/>
    </row>
    <row r="6" spans="4:9" ht="18.75" thickBot="1">
      <c r="D6" s="130" t="s">
        <v>104</v>
      </c>
      <c r="E6" s="131" t="s">
        <v>85</v>
      </c>
      <c r="F6" s="132" t="s">
        <v>84</v>
      </c>
      <c r="G6" s="133" t="s">
        <v>103</v>
      </c>
      <c r="H6" s="134"/>
      <c r="I6" s="132" t="s">
        <v>86</v>
      </c>
    </row>
    <row r="7" spans="4:9" ht="18.75" thickBot="1">
      <c r="D7" s="135"/>
      <c r="E7" s="135"/>
      <c r="F7" s="135"/>
      <c r="G7" s="135"/>
      <c r="H7" s="134"/>
      <c r="I7" s="135"/>
    </row>
    <row r="8" spans="4:9">
      <c r="D8" s="145" t="s">
        <v>125</v>
      </c>
      <c r="E8" s="146">
        <f ca="1">SUMIFS(FATURAMENTO!$H$8:$H$1048576,FATURAMENTO!$M$8:$M$1048576,'A RECEBER'!E$6,FATURAMENTO!$J$8:$J$1048576,'A RECEBER'!D8)</f>
        <v>0</v>
      </c>
      <c r="F8" s="147">
        <f ca="1">SUMIFS(FATURAMENTO!$H$8:$H$1048576,FATURAMENTO!$M$8:$M$1048576,'A RECEBER'!F$6,FATURAMENTO!$J$8:$J$1048576,D8)</f>
        <v>44000</v>
      </c>
      <c r="G8" s="148">
        <f t="shared" ref="G8:G9" ca="1" si="0">E8+F8</f>
        <v>44000</v>
      </c>
      <c r="H8" s="136"/>
      <c r="I8" s="149">
        <f ca="1">SUMIFS(FATURAMENTO!$H$8:$H$1048576,FATURAMENTO!$M$8:$M$1048576,'A RECEBER'!I$6,FATURAMENTO!$J$8:$J$1048576,D8)</f>
        <v>114119.24</v>
      </c>
    </row>
    <row r="9" spans="4:9" ht="18.75" thickBot="1">
      <c r="D9" s="137" t="s">
        <v>90</v>
      </c>
      <c r="E9" s="138">
        <f ca="1">SUMIFS(FATURAMENTO!$H$8:$H$1048576,FATURAMENTO!$M$8:$M$1048576,'A RECEBER'!E$6,FATURAMENTO!$J$8:$J$1048576,'A RECEBER'!D9)</f>
        <v>12405.01</v>
      </c>
      <c r="F9" s="138">
        <f ca="1">SUMIFS(FATURAMENTO!$H$8:$H$1048576,FATURAMENTO!$M$8:$M$1048576,'A RECEBER'!F$6,FATURAMENTO!$J$8:$J$1048576,D9)</f>
        <v>24402.5</v>
      </c>
      <c r="G9" s="139">
        <f t="shared" ca="1" si="0"/>
        <v>36807.51</v>
      </c>
      <c r="H9" s="134"/>
      <c r="I9" s="140">
        <f ca="1">SUMIFS(FATURAMENTO!$H$8:$H$1048576,FATURAMENTO!$M$8:$M$1048576,'A RECEBER'!I$6,FATURAMENTO!$J$8:$J$1048576,D9)</f>
        <v>33993.15</v>
      </c>
    </row>
    <row r="10" spans="4:9"/>
    <row r="11" spans="4:9"/>
    <row r="12" spans="4:9"/>
    <row r="13" spans="4:9"/>
  </sheetData>
  <mergeCells count="1">
    <mergeCell ref="D5:I5"/>
  </mergeCells>
  <conditionalFormatting sqref="E6:G6">
    <cfRule type="cellIs" dxfId="29" priority="9" operator="equal">
      <formula>"VENCIDO"</formula>
    </cfRule>
    <cfRule type="cellIs" dxfId="28" priority="10" operator="equal">
      <formula>"A VENCER"</formula>
    </cfRule>
    <cfRule type="expression" dxfId="27" priority="11">
      <formula>#REF!="TROCADO"</formula>
    </cfRule>
  </conditionalFormatting>
  <conditionalFormatting sqref="I6">
    <cfRule type="cellIs" dxfId="26" priority="5" operator="equal">
      <formula>"LIQUIDADO"</formula>
    </cfRule>
    <cfRule type="expression" dxfId="25" priority="6">
      <formula>#REF!="TROCADO"</formula>
    </cfRule>
    <cfRule type="cellIs" dxfId="24" priority="7" operator="equal">
      <formula>"VENCIDO"</formula>
    </cfRule>
    <cfRule type="cellIs" dxfId="23" priority="8" operator="equal">
      <formula>"A VENCER"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74"/>
  <sheetViews>
    <sheetView showGridLines="0" workbookViewId="0">
      <pane ySplit="8" topLeftCell="A135" activePane="bottomLeft" state="frozen"/>
      <selection pane="bottomLeft"/>
    </sheetView>
  </sheetViews>
  <sheetFormatPr defaultColWidth="0" defaultRowHeight="15.75" zeroHeight="1"/>
  <cols>
    <col min="1" max="2" width="20.7109375" style="13" customWidth="1"/>
    <col min="3" max="3" width="20.7109375" style="15" customWidth="1"/>
    <col min="4" max="4" width="20.7109375" style="14" customWidth="1"/>
    <col min="5" max="6" width="20.7109375" style="13" customWidth="1"/>
    <col min="7" max="7" width="0" style="13" hidden="1" customWidth="1"/>
    <col min="8" max="16384" width="9.140625" style="13" hidden="1"/>
  </cols>
  <sheetData>
    <row r="1" spans="2:6"/>
    <row r="2" spans="2:6"/>
    <row r="3" spans="2:6"/>
    <row r="4" spans="2:6" ht="18.75" customHeight="1">
      <c r="B4" s="338" t="s">
        <v>109</v>
      </c>
      <c r="C4" s="338"/>
      <c r="D4" s="338"/>
      <c r="E4" s="338"/>
      <c r="F4" s="23">
        <f ca="1">D7+E7-FATURAMENTO!H5</f>
        <v>-3653281.9099999992</v>
      </c>
    </row>
    <row r="5" spans="2:6" ht="18.75" customHeight="1">
      <c r="B5" s="338"/>
      <c r="C5" s="338"/>
      <c r="D5" s="338"/>
      <c r="E5" s="338"/>
      <c r="F5" s="23"/>
    </row>
    <row r="6" spans="2:6"/>
    <row r="7" spans="2:6">
      <c r="B7" s="18" t="s">
        <v>111</v>
      </c>
      <c r="C7" s="18" t="s">
        <v>110</v>
      </c>
      <c r="D7" s="18">
        <f ca="1">SUM(D9:D373)</f>
        <v>2598752.4700000002</v>
      </c>
      <c r="E7" s="18">
        <f ca="1">SUM(E9:E373)</f>
        <v>166071.02000000002</v>
      </c>
    </row>
    <row r="8" spans="2:6" ht="16.5" thickBot="1">
      <c r="B8" s="17">
        <f ca="1">TODAY()</f>
        <v>46098</v>
      </c>
      <c r="C8" s="17" t="s">
        <v>88</v>
      </c>
      <c r="D8" s="21" t="s">
        <v>85</v>
      </c>
      <c r="E8" s="21" t="s">
        <v>84</v>
      </c>
    </row>
    <row r="9" spans="2:6">
      <c r="B9" s="22" t="str">
        <f t="shared" ref="B9:B72" si="0">TEXT(C9,"dddd")</f>
        <v>quinta-feira</v>
      </c>
      <c r="C9" s="16">
        <v>46023</v>
      </c>
      <c r="D9" s="18">
        <f ca="1">SUMIFS(FATURAMENTO!$H$8:$H$1048576,FATURAMENTO!$M$8:$M$1048576,DIARIO!D$8,FATURAMENTO!$I$8:$I$1048576,DIARIO!C9)</f>
        <v>0</v>
      </c>
      <c r="E9" s="18">
        <f ca="1">SUMIFS(FATURAMENTO!$H$8:$H$1048576,FATURAMENTO!$M$8:$M$1048576,DIARIO!E$8,FATURAMENTO!$I$8:$I$1048576,C9)</f>
        <v>0</v>
      </c>
    </row>
    <row r="10" spans="2:6">
      <c r="B10" s="22" t="str">
        <f t="shared" si="0"/>
        <v>sexta-feira</v>
      </c>
      <c r="C10" s="16">
        <v>46024</v>
      </c>
      <c r="D10" s="18">
        <f ca="1">SUMIFS(FATURAMENTO!$H$8:$H$1048576,FATURAMENTO!$M$8:$M$1048576,DIARIO!D$8,FATURAMENTO!$I$8:$I$1048576,DIARIO!C10)</f>
        <v>0</v>
      </c>
      <c r="E10" s="18">
        <f ca="1">SUMIFS(FATURAMENTO!$H$8:$H$1048576,FATURAMENTO!$M$8:$M$1048576,DIARIO!E$8,FATURAMENTO!$I$8:$I$1048576,C10)</f>
        <v>0</v>
      </c>
    </row>
    <row r="11" spans="2:6">
      <c r="B11" s="150" t="str">
        <f t="shared" si="0"/>
        <v>sábado</v>
      </c>
      <c r="C11" s="151">
        <v>46025</v>
      </c>
      <c r="D11" s="152">
        <f ca="1">SUMIFS(FATURAMENTO!$H$8:$H$1048576,FATURAMENTO!$M$8:$M$1048576,DIARIO!D$8,FATURAMENTO!$I$8:$I$1048576,DIARIO!C11)</f>
        <v>0</v>
      </c>
      <c r="E11" s="152">
        <f ca="1">SUMIFS(FATURAMENTO!$H$8:$H$1048576,FATURAMENTO!$M$8:$M$1048576,DIARIO!E$8,FATURAMENTO!$I$8:$I$1048576,C11)</f>
        <v>0</v>
      </c>
    </row>
    <row r="12" spans="2:6">
      <c r="B12" s="150" t="str">
        <f t="shared" si="0"/>
        <v>domingo</v>
      </c>
      <c r="C12" s="151">
        <v>46026</v>
      </c>
      <c r="D12" s="152">
        <f ca="1">SUMIFS(FATURAMENTO!$H$8:$H$1048576,FATURAMENTO!$M$8:$M$1048576,DIARIO!D$8,FATURAMENTO!$I$8:$I$1048576,DIARIO!C12)</f>
        <v>0</v>
      </c>
      <c r="E12" s="152">
        <f ca="1">SUMIFS(FATURAMENTO!$H$8:$H$1048576,FATURAMENTO!$M$8:$M$1048576,DIARIO!E$8,FATURAMENTO!$I$8:$I$1048576,C12)</f>
        <v>0</v>
      </c>
    </row>
    <row r="13" spans="2:6">
      <c r="B13" s="22" t="str">
        <f t="shared" si="0"/>
        <v>segunda-feira</v>
      </c>
      <c r="C13" s="16">
        <v>46027</v>
      </c>
      <c r="D13" s="18">
        <f ca="1">SUMIFS(FATURAMENTO!$H$8:$H$1048576,FATURAMENTO!$M$8:$M$1048576,DIARIO!D$8,FATURAMENTO!$I$8:$I$1048576,DIARIO!C13)</f>
        <v>0</v>
      </c>
      <c r="E13" s="18">
        <f ca="1">SUMIFS(FATURAMENTO!$H$8:$H$1048576,FATURAMENTO!$M$8:$M$1048576,DIARIO!E$8,FATURAMENTO!$I$8:$I$1048576,C13)</f>
        <v>5875</v>
      </c>
    </row>
    <row r="14" spans="2:6">
      <c r="B14" s="22" t="str">
        <f t="shared" si="0"/>
        <v>terça-feira</v>
      </c>
      <c r="C14" s="16">
        <v>46028</v>
      </c>
      <c r="D14" s="18">
        <f ca="1">SUMIFS(FATURAMENTO!$H$8:$H$1048576,FATURAMENTO!$M$8:$M$1048576,DIARIO!D$8,FATURAMENTO!$I$8:$I$1048576,DIARIO!C14)</f>
        <v>0</v>
      </c>
      <c r="E14" s="18">
        <f ca="1">SUMIFS(FATURAMENTO!$H$8:$H$1048576,FATURAMENTO!$M$8:$M$1048576,DIARIO!E$8,FATURAMENTO!$I$8:$I$1048576,C14)</f>
        <v>0</v>
      </c>
    </row>
    <row r="15" spans="2:6">
      <c r="B15" s="22" t="str">
        <f t="shared" si="0"/>
        <v>quarta-feira</v>
      </c>
      <c r="C15" s="16">
        <v>46029</v>
      </c>
      <c r="D15" s="18">
        <f ca="1">SUMIFS(FATURAMENTO!$H$8:$H$1048576,FATURAMENTO!$M$8:$M$1048576,DIARIO!D$8,FATURAMENTO!$I$8:$I$1048576,DIARIO!C15)</f>
        <v>0</v>
      </c>
      <c r="E15" s="18">
        <f ca="1">SUMIFS(FATURAMENTO!$H$8:$H$1048576,FATURAMENTO!$M$8:$M$1048576,DIARIO!E$8,FATURAMENTO!$I$8:$I$1048576,C15)</f>
        <v>1075</v>
      </c>
    </row>
    <row r="16" spans="2:6">
      <c r="B16" s="22" t="str">
        <f t="shared" si="0"/>
        <v>quinta-feira</v>
      </c>
      <c r="C16" s="16">
        <v>46030</v>
      </c>
      <c r="D16" s="18">
        <f ca="1">SUMIFS(FATURAMENTO!$H$8:$H$1048576,FATURAMENTO!$M$8:$M$1048576,DIARIO!D$8,FATURAMENTO!$I$8:$I$1048576,DIARIO!C16)</f>
        <v>0</v>
      </c>
      <c r="E16" s="18">
        <f ca="1">SUMIFS(FATURAMENTO!$H$8:$H$1048576,FATURAMENTO!$M$8:$M$1048576,DIARIO!E$8,FATURAMENTO!$I$8:$I$1048576,C16)</f>
        <v>0</v>
      </c>
    </row>
    <row r="17" spans="2:5">
      <c r="B17" s="22" t="str">
        <f t="shared" si="0"/>
        <v>sexta-feira</v>
      </c>
      <c r="C17" s="16">
        <v>46031</v>
      </c>
      <c r="D17" s="18">
        <f ca="1">SUMIFS(FATURAMENTO!$H$8:$H$1048576,FATURAMENTO!$M$8:$M$1048576,DIARIO!D$8,FATURAMENTO!$I$8:$I$1048576,DIARIO!C17)</f>
        <v>0</v>
      </c>
      <c r="E17" s="18">
        <f ca="1">SUMIFS(FATURAMENTO!$H$8:$H$1048576,FATURAMENTO!$M$8:$M$1048576,DIARIO!E$8,FATURAMENTO!$I$8:$I$1048576,C17)</f>
        <v>0</v>
      </c>
    </row>
    <row r="18" spans="2:5">
      <c r="B18" s="22" t="str">
        <f t="shared" si="0"/>
        <v>sábado</v>
      </c>
      <c r="C18" s="16">
        <v>46032</v>
      </c>
      <c r="D18" s="18">
        <f ca="1">SUMIFS(FATURAMENTO!$H$8:$H$1048576,FATURAMENTO!$M$8:$M$1048576,DIARIO!D$8,FATURAMENTO!$I$8:$I$1048576,DIARIO!C18)</f>
        <v>0</v>
      </c>
      <c r="E18" s="18">
        <f ca="1">SUMIFS(FATURAMENTO!$H$8:$H$1048576,FATURAMENTO!$M$8:$M$1048576,DIARIO!E$8,FATURAMENTO!$I$8:$I$1048576,C18)</f>
        <v>0</v>
      </c>
    </row>
    <row r="19" spans="2:5">
      <c r="B19" s="22" t="str">
        <f t="shared" si="0"/>
        <v>domingo</v>
      </c>
      <c r="C19" s="16">
        <v>46033</v>
      </c>
      <c r="D19" s="18">
        <f ca="1">SUMIFS(FATURAMENTO!$H$8:$H$1048576,FATURAMENTO!$M$8:$M$1048576,DIARIO!D$8,FATURAMENTO!$I$8:$I$1048576,DIARIO!C19)</f>
        <v>0</v>
      </c>
      <c r="E19" s="18">
        <f ca="1">SUMIFS(FATURAMENTO!$H$8:$H$1048576,FATURAMENTO!$M$8:$M$1048576,DIARIO!E$8,FATURAMENTO!$I$8:$I$1048576,C19)</f>
        <v>0</v>
      </c>
    </row>
    <row r="20" spans="2:5">
      <c r="B20" s="22" t="str">
        <f t="shared" si="0"/>
        <v>segunda-feira</v>
      </c>
      <c r="C20" s="16">
        <v>46034</v>
      </c>
      <c r="D20" s="18">
        <f ca="1">SUMIFS(FATURAMENTO!$H$8:$H$1048576,FATURAMENTO!$M$8:$M$1048576,DIARIO!D$8,FATURAMENTO!$I$8:$I$1048576,DIARIO!C20)</f>
        <v>0</v>
      </c>
      <c r="E20" s="18">
        <f ca="1">SUMIFS(FATURAMENTO!$H$8:$H$1048576,FATURAMENTO!$M$8:$M$1048576,DIARIO!E$8,FATURAMENTO!$I$8:$I$1048576,C20)</f>
        <v>0</v>
      </c>
    </row>
    <row r="21" spans="2:5">
      <c r="B21" s="22" t="str">
        <f t="shared" si="0"/>
        <v>terça-feira</v>
      </c>
      <c r="C21" s="16">
        <v>46035</v>
      </c>
      <c r="D21" s="18">
        <f ca="1">SUMIFS(FATURAMENTO!$H$8:$H$1048576,FATURAMENTO!$M$8:$M$1048576,DIARIO!D$8,FATURAMENTO!$I$8:$I$1048576,DIARIO!C21)</f>
        <v>0</v>
      </c>
      <c r="E21" s="18">
        <f ca="1">SUMIFS(FATURAMENTO!$H$8:$H$1048576,FATURAMENTO!$M$8:$M$1048576,DIARIO!E$8,FATURAMENTO!$I$8:$I$1048576,C21)</f>
        <v>0</v>
      </c>
    </row>
    <row r="22" spans="2:5">
      <c r="B22" s="22" t="str">
        <f t="shared" si="0"/>
        <v>quarta-feira</v>
      </c>
      <c r="C22" s="16">
        <v>46036</v>
      </c>
      <c r="D22" s="18">
        <f ca="1">SUMIFS(FATURAMENTO!$H$8:$H$1048576,FATURAMENTO!$M$8:$M$1048576,DIARIO!D$8,FATURAMENTO!$I$8:$I$1048576,DIARIO!C22)</f>
        <v>0</v>
      </c>
      <c r="E22" s="18">
        <f ca="1">SUMIFS(FATURAMENTO!$H$8:$H$1048576,FATURAMENTO!$M$8:$M$1048576,DIARIO!E$8,FATURAMENTO!$I$8:$I$1048576,C22)</f>
        <v>0</v>
      </c>
    </row>
    <row r="23" spans="2:5">
      <c r="B23" s="22" t="str">
        <f t="shared" si="0"/>
        <v>quinta-feira</v>
      </c>
      <c r="C23" s="16">
        <v>46037</v>
      </c>
      <c r="D23" s="18">
        <f ca="1">SUMIFS(FATURAMENTO!$H$8:$H$1048576,FATURAMENTO!$M$8:$M$1048576,DIARIO!D$8,FATURAMENTO!$I$8:$I$1048576,DIARIO!C23)</f>
        <v>0</v>
      </c>
      <c r="E23" s="18">
        <f ca="1">SUMIFS(FATURAMENTO!$H$8:$H$1048576,FATURAMENTO!$M$8:$M$1048576,DIARIO!E$8,FATURAMENTO!$I$8:$I$1048576,C23)</f>
        <v>0</v>
      </c>
    </row>
    <row r="24" spans="2:5">
      <c r="B24" s="22" t="str">
        <f t="shared" si="0"/>
        <v>sexta-feira</v>
      </c>
      <c r="C24" s="16">
        <v>46038</v>
      </c>
      <c r="D24" s="18">
        <f ca="1">SUMIFS(FATURAMENTO!$H$8:$H$1048576,FATURAMENTO!$M$8:$M$1048576,DIARIO!D$8,FATURAMENTO!$I$8:$I$1048576,DIARIO!C24)</f>
        <v>0</v>
      </c>
      <c r="E24" s="18">
        <f ca="1">SUMIFS(FATURAMENTO!$H$8:$H$1048576,FATURAMENTO!$M$8:$M$1048576,DIARIO!E$8,FATURAMENTO!$I$8:$I$1048576,C24)</f>
        <v>0</v>
      </c>
    </row>
    <row r="25" spans="2:5">
      <c r="B25" s="22" t="str">
        <f t="shared" si="0"/>
        <v>sábado</v>
      </c>
      <c r="C25" s="16">
        <v>46039</v>
      </c>
      <c r="D25" s="18">
        <f ca="1">SUMIFS(FATURAMENTO!$H$8:$H$1048576,FATURAMENTO!$M$8:$M$1048576,DIARIO!D$8,FATURAMENTO!$I$8:$I$1048576,DIARIO!C25)</f>
        <v>0</v>
      </c>
      <c r="E25" s="18">
        <f ca="1">SUMIFS(FATURAMENTO!$H$8:$H$1048576,FATURAMENTO!$M$8:$M$1048576,DIARIO!E$8,FATURAMENTO!$I$8:$I$1048576,C25)</f>
        <v>0</v>
      </c>
    </row>
    <row r="26" spans="2:5">
      <c r="B26" s="22" t="str">
        <f t="shared" si="0"/>
        <v>domingo</v>
      </c>
      <c r="C26" s="16">
        <v>46040</v>
      </c>
      <c r="D26" s="18">
        <f ca="1">SUMIFS(FATURAMENTO!$H$8:$H$1048576,FATURAMENTO!$M$8:$M$1048576,DIARIO!D$8,FATURAMENTO!$I$8:$I$1048576,DIARIO!C26)</f>
        <v>0</v>
      </c>
      <c r="E26" s="18">
        <f ca="1">SUMIFS(FATURAMENTO!$H$8:$H$1048576,FATURAMENTO!$M$8:$M$1048576,DIARIO!E$8,FATURAMENTO!$I$8:$I$1048576,C26)</f>
        <v>0</v>
      </c>
    </row>
    <row r="27" spans="2:5">
      <c r="B27" s="22" t="str">
        <f t="shared" si="0"/>
        <v>segunda-feira</v>
      </c>
      <c r="C27" s="16">
        <v>46041</v>
      </c>
      <c r="D27" s="18">
        <f ca="1">SUMIFS(FATURAMENTO!$H$8:$H$1048576,FATURAMENTO!$M$8:$M$1048576,DIARIO!D$8,FATURAMENTO!$I$8:$I$1048576,DIARIO!C27)</f>
        <v>0</v>
      </c>
      <c r="E27" s="18">
        <f ca="1">SUMIFS(FATURAMENTO!$H$8:$H$1048576,FATURAMENTO!$M$8:$M$1048576,DIARIO!E$8,FATURAMENTO!$I$8:$I$1048576,C27)</f>
        <v>0</v>
      </c>
    </row>
    <row r="28" spans="2:5">
      <c r="B28" s="22" t="str">
        <f t="shared" si="0"/>
        <v>terça-feira</v>
      </c>
      <c r="C28" s="16">
        <v>46042</v>
      </c>
      <c r="D28" s="18">
        <f ca="1">SUMIFS(FATURAMENTO!$H$8:$H$1048576,FATURAMENTO!$M$8:$M$1048576,DIARIO!D$8,FATURAMENTO!$I$8:$I$1048576,DIARIO!C28)</f>
        <v>0</v>
      </c>
      <c r="E28" s="18">
        <f ca="1">SUMIFS(FATURAMENTO!$H$8:$H$1048576,FATURAMENTO!$M$8:$M$1048576,DIARIO!E$8,FATURAMENTO!$I$8:$I$1048576,C28)</f>
        <v>5875</v>
      </c>
    </row>
    <row r="29" spans="2:5">
      <c r="B29" s="22" t="str">
        <f t="shared" si="0"/>
        <v>quarta-feira</v>
      </c>
      <c r="C29" s="16">
        <v>46043</v>
      </c>
      <c r="D29" s="18">
        <f ca="1">SUMIFS(FATURAMENTO!$H$8:$H$1048576,FATURAMENTO!$M$8:$M$1048576,DIARIO!D$8,FATURAMENTO!$I$8:$I$1048576,DIARIO!C29)</f>
        <v>0</v>
      </c>
      <c r="E29" s="18">
        <f ca="1">SUMIFS(FATURAMENTO!$H$8:$H$1048576,FATURAMENTO!$M$8:$M$1048576,DIARIO!E$8,FATURAMENTO!$I$8:$I$1048576,C29)</f>
        <v>0</v>
      </c>
    </row>
    <row r="30" spans="2:5">
      <c r="B30" s="22" t="str">
        <f t="shared" si="0"/>
        <v>quinta-feira</v>
      </c>
      <c r="C30" s="16">
        <v>46044</v>
      </c>
      <c r="D30" s="18">
        <f ca="1">SUMIFS(FATURAMENTO!$H$8:$H$1048576,FATURAMENTO!$M$8:$M$1048576,DIARIO!D$8,FATURAMENTO!$I$8:$I$1048576,DIARIO!C30)</f>
        <v>0</v>
      </c>
      <c r="E30" s="18">
        <f ca="1">SUMIFS(FATURAMENTO!$H$8:$H$1048576,FATURAMENTO!$M$8:$M$1048576,DIARIO!E$8,FATURAMENTO!$I$8:$I$1048576,C30)</f>
        <v>0</v>
      </c>
    </row>
    <row r="31" spans="2:5">
      <c r="B31" s="22" t="str">
        <f t="shared" si="0"/>
        <v>sexta-feira</v>
      </c>
      <c r="C31" s="16">
        <v>46045</v>
      </c>
      <c r="D31" s="18">
        <f ca="1">SUMIFS(FATURAMENTO!$H$8:$H$1048576,FATURAMENTO!$M$8:$M$1048576,DIARIO!D$8,FATURAMENTO!$I$8:$I$1048576,DIARIO!C31)</f>
        <v>0</v>
      </c>
      <c r="E31" s="18">
        <f ca="1">SUMIFS(FATURAMENTO!$H$8:$H$1048576,FATURAMENTO!$M$8:$M$1048576,DIARIO!E$8,FATURAMENTO!$I$8:$I$1048576,C31)</f>
        <v>0</v>
      </c>
    </row>
    <row r="32" spans="2:5">
      <c r="B32" s="22" t="str">
        <f t="shared" si="0"/>
        <v>sábado</v>
      </c>
      <c r="C32" s="16">
        <v>46046</v>
      </c>
      <c r="D32" s="18">
        <f ca="1">SUMIFS(FATURAMENTO!$H$8:$H$1048576,FATURAMENTO!$M$8:$M$1048576,DIARIO!D$8,FATURAMENTO!$I$8:$I$1048576,DIARIO!C32)</f>
        <v>0</v>
      </c>
      <c r="E32" s="18">
        <f ca="1">SUMIFS(FATURAMENTO!$H$8:$H$1048576,FATURAMENTO!$M$8:$M$1048576,DIARIO!E$8,FATURAMENTO!$I$8:$I$1048576,C32)</f>
        <v>0</v>
      </c>
    </row>
    <row r="33" spans="2:5">
      <c r="B33" s="22" t="str">
        <f t="shared" si="0"/>
        <v>domingo</v>
      </c>
      <c r="C33" s="16">
        <v>46047</v>
      </c>
      <c r="D33" s="18">
        <f ca="1">SUMIFS(FATURAMENTO!$H$8:$H$1048576,FATURAMENTO!$M$8:$M$1048576,DIARIO!D$8,FATURAMENTO!$I$8:$I$1048576,DIARIO!C33)</f>
        <v>0</v>
      </c>
      <c r="E33" s="18">
        <f ca="1">SUMIFS(FATURAMENTO!$H$8:$H$1048576,FATURAMENTO!$M$8:$M$1048576,DIARIO!E$8,FATURAMENTO!$I$8:$I$1048576,C33)</f>
        <v>0</v>
      </c>
    </row>
    <row r="34" spans="2:5">
      <c r="B34" s="22" t="str">
        <f t="shared" si="0"/>
        <v>segunda-feira</v>
      </c>
      <c r="C34" s="16">
        <v>46048</v>
      </c>
      <c r="D34" s="18">
        <f ca="1">SUMIFS(FATURAMENTO!$H$8:$H$1048576,FATURAMENTO!$M$8:$M$1048576,DIARIO!D$8,FATURAMENTO!$I$8:$I$1048576,DIARIO!C34)</f>
        <v>0</v>
      </c>
      <c r="E34" s="18">
        <f ca="1">SUMIFS(FATURAMENTO!$H$8:$H$1048576,FATURAMENTO!$M$8:$M$1048576,DIARIO!E$8,FATURAMENTO!$I$8:$I$1048576,C34)</f>
        <v>0</v>
      </c>
    </row>
    <row r="35" spans="2:5">
      <c r="B35" s="22" t="str">
        <f t="shared" si="0"/>
        <v>terça-feira</v>
      </c>
      <c r="C35" s="16">
        <v>46049</v>
      </c>
      <c r="D35" s="18">
        <f ca="1">SUMIFS(FATURAMENTO!$H$8:$H$1048576,FATURAMENTO!$M$8:$M$1048576,DIARIO!D$8,FATURAMENTO!$I$8:$I$1048576,DIARIO!C35)</f>
        <v>0</v>
      </c>
      <c r="E35" s="18">
        <f ca="1">SUMIFS(FATURAMENTO!$H$8:$H$1048576,FATURAMENTO!$M$8:$M$1048576,DIARIO!E$8,FATURAMENTO!$I$8:$I$1048576,C35)</f>
        <v>0</v>
      </c>
    </row>
    <row r="36" spans="2:5">
      <c r="B36" s="22" t="str">
        <f t="shared" si="0"/>
        <v>quarta-feira</v>
      </c>
      <c r="C36" s="16">
        <v>46050</v>
      </c>
      <c r="D36" s="18">
        <f ca="1">SUMIFS(FATURAMENTO!$H$8:$H$1048576,FATURAMENTO!$M$8:$M$1048576,DIARIO!D$8,FATURAMENTO!$I$8:$I$1048576,DIARIO!C36)</f>
        <v>0</v>
      </c>
      <c r="E36" s="18">
        <f ca="1">SUMIFS(FATURAMENTO!$H$8:$H$1048576,FATURAMENTO!$M$8:$M$1048576,DIARIO!E$8,FATURAMENTO!$I$8:$I$1048576,C36)</f>
        <v>0</v>
      </c>
    </row>
    <row r="37" spans="2:5">
      <c r="B37" s="22" t="str">
        <f t="shared" si="0"/>
        <v>quinta-feira</v>
      </c>
      <c r="C37" s="16">
        <v>46051</v>
      </c>
      <c r="D37" s="18">
        <f ca="1">SUMIFS(FATURAMENTO!$H$8:$H$1048576,FATURAMENTO!$M$8:$M$1048576,DIARIO!D$8,FATURAMENTO!$I$8:$I$1048576,DIARIO!C37)</f>
        <v>0</v>
      </c>
      <c r="E37" s="18">
        <f ca="1">SUMIFS(FATURAMENTO!$H$8:$H$1048576,FATURAMENTO!$M$8:$M$1048576,DIARIO!E$8,FATURAMENTO!$I$8:$I$1048576,C37)</f>
        <v>0</v>
      </c>
    </row>
    <row r="38" spans="2:5">
      <c r="B38" s="22" t="str">
        <f t="shared" si="0"/>
        <v>sexta-feira</v>
      </c>
      <c r="C38" s="16">
        <v>46052</v>
      </c>
      <c r="D38" s="18">
        <f ca="1">SUMIFS(FATURAMENTO!$H$8:$H$1048576,FATURAMENTO!$M$8:$M$1048576,DIARIO!D$8,FATURAMENTO!$I$8:$I$1048576,DIARIO!C38)</f>
        <v>0</v>
      </c>
      <c r="E38" s="18">
        <f ca="1">SUMIFS(FATURAMENTO!$H$8:$H$1048576,FATURAMENTO!$M$8:$M$1048576,DIARIO!E$8,FATURAMENTO!$I$8:$I$1048576,C38)</f>
        <v>0</v>
      </c>
    </row>
    <row r="39" spans="2:5">
      <c r="B39" s="22" t="str">
        <f t="shared" si="0"/>
        <v>sábado</v>
      </c>
      <c r="C39" s="16">
        <v>46053</v>
      </c>
      <c r="D39" s="18">
        <f ca="1">SUMIFS(FATURAMENTO!$H$8:$H$1048576,FATURAMENTO!$M$8:$M$1048576,DIARIO!D$8,FATURAMENTO!$I$8:$I$1048576,DIARIO!C39)</f>
        <v>0</v>
      </c>
      <c r="E39" s="18">
        <f ca="1">SUMIFS(FATURAMENTO!$H$8:$H$1048576,FATURAMENTO!$M$8:$M$1048576,DIARIO!E$8,FATURAMENTO!$I$8:$I$1048576,C39)</f>
        <v>0</v>
      </c>
    </row>
    <row r="40" spans="2:5">
      <c r="B40" s="22" t="str">
        <f t="shared" si="0"/>
        <v>domingo</v>
      </c>
      <c r="C40" s="16">
        <v>46054</v>
      </c>
      <c r="D40" s="18">
        <f ca="1">SUMIFS(FATURAMENTO!$H$8:$H$1048576,FATURAMENTO!$M$8:$M$1048576,DIARIO!D$8,FATURAMENTO!$I$8:$I$1048576,DIARIO!C40)</f>
        <v>0</v>
      </c>
      <c r="E40" s="18">
        <f ca="1">SUMIFS(FATURAMENTO!$H$8:$H$1048576,FATURAMENTO!$M$8:$M$1048576,DIARIO!E$8,FATURAMENTO!$I$8:$I$1048576,C40)</f>
        <v>0</v>
      </c>
    </row>
    <row r="41" spans="2:5">
      <c r="B41" s="22" t="str">
        <f t="shared" si="0"/>
        <v>segunda-feira</v>
      </c>
      <c r="C41" s="16">
        <v>46055</v>
      </c>
      <c r="D41" s="18">
        <f ca="1">SUMIFS(FATURAMENTO!$H$8:$H$1048576,FATURAMENTO!$M$8:$M$1048576,DIARIO!D$8,FATURAMENTO!$I$8:$I$1048576,DIARIO!C41)</f>
        <v>0</v>
      </c>
      <c r="E41" s="18">
        <f ca="1">SUMIFS(FATURAMENTO!$H$8:$H$1048576,FATURAMENTO!$M$8:$M$1048576,DIARIO!E$8,FATURAMENTO!$I$8:$I$1048576,C41)</f>
        <v>0</v>
      </c>
    </row>
    <row r="42" spans="2:5">
      <c r="B42" s="22" t="str">
        <f t="shared" si="0"/>
        <v>terça-feira</v>
      </c>
      <c r="C42" s="16">
        <v>46056</v>
      </c>
      <c r="D42" s="18">
        <f ca="1">SUMIFS(FATURAMENTO!$H$8:$H$1048576,FATURAMENTO!$M$8:$M$1048576,DIARIO!D$8,FATURAMENTO!$I$8:$I$1048576,DIARIO!C42)</f>
        <v>0</v>
      </c>
      <c r="E42" s="18">
        <f ca="1">SUMIFS(FATURAMENTO!$H$8:$H$1048576,FATURAMENTO!$M$8:$M$1048576,DIARIO!E$8,FATURAMENTO!$I$8:$I$1048576,C42)</f>
        <v>0</v>
      </c>
    </row>
    <row r="43" spans="2:5">
      <c r="B43" s="22" t="str">
        <f t="shared" si="0"/>
        <v>quarta-feira</v>
      </c>
      <c r="C43" s="16">
        <v>46057</v>
      </c>
      <c r="D43" s="18">
        <f ca="1">SUMIFS(FATURAMENTO!$H$8:$H$1048576,FATURAMENTO!$M$8:$M$1048576,DIARIO!D$8,FATURAMENTO!$I$8:$I$1048576,DIARIO!C43)</f>
        <v>0</v>
      </c>
      <c r="E43" s="18">
        <f ca="1">SUMIFS(FATURAMENTO!$H$8:$H$1048576,FATURAMENTO!$M$8:$M$1048576,DIARIO!E$8,FATURAMENTO!$I$8:$I$1048576,C43)</f>
        <v>0</v>
      </c>
    </row>
    <row r="44" spans="2:5">
      <c r="B44" s="22" t="str">
        <f t="shared" si="0"/>
        <v>quinta-feira</v>
      </c>
      <c r="C44" s="16">
        <v>46058</v>
      </c>
      <c r="D44" s="18">
        <f ca="1">SUMIFS(FATURAMENTO!$H$8:$H$1048576,FATURAMENTO!$M$8:$M$1048576,DIARIO!D$8,FATURAMENTO!$I$8:$I$1048576,DIARIO!C44)</f>
        <v>0</v>
      </c>
      <c r="E44" s="18">
        <f ca="1">SUMIFS(FATURAMENTO!$H$8:$H$1048576,FATURAMENTO!$M$8:$M$1048576,DIARIO!E$8,FATURAMENTO!$I$8:$I$1048576,C44)</f>
        <v>0</v>
      </c>
    </row>
    <row r="45" spans="2:5">
      <c r="B45" s="22" t="str">
        <f t="shared" si="0"/>
        <v>sexta-feira</v>
      </c>
      <c r="C45" s="16">
        <v>46059</v>
      </c>
      <c r="D45" s="18">
        <f ca="1">SUMIFS(FATURAMENTO!$H$8:$H$1048576,FATURAMENTO!$M$8:$M$1048576,DIARIO!D$8,FATURAMENTO!$I$8:$I$1048576,DIARIO!C45)</f>
        <v>0</v>
      </c>
      <c r="E45" s="18">
        <f ca="1">SUMIFS(FATURAMENTO!$H$8:$H$1048576,FATURAMENTO!$M$8:$M$1048576,DIARIO!E$8,FATURAMENTO!$I$8:$I$1048576,C45)</f>
        <v>0</v>
      </c>
    </row>
    <row r="46" spans="2:5">
      <c r="B46" s="22" t="str">
        <f t="shared" si="0"/>
        <v>sábado</v>
      </c>
      <c r="C46" s="16">
        <v>46060</v>
      </c>
      <c r="D46" s="18">
        <f ca="1">SUMIFS(FATURAMENTO!$H$8:$H$1048576,FATURAMENTO!$M$8:$M$1048576,DIARIO!D$8,FATURAMENTO!$I$8:$I$1048576,DIARIO!C46)</f>
        <v>0</v>
      </c>
      <c r="E46" s="18">
        <f ca="1">SUMIFS(FATURAMENTO!$H$8:$H$1048576,FATURAMENTO!$M$8:$M$1048576,DIARIO!E$8,FATURAMENTO!$I$8:$I$1048576,C46)</f>
        <v>0</v>
      </c>
    </row>
    <row r="47" spans="2:5">
      <c r="B47" s="22" t="str">
        <f t="shared" si="0"/>
        <v>domingo</v>
      </c>
      <c r="C47" s="16">
        <v>46061</v>
      </c>
      <c r="D47" s="18">
        <f ca="1">SUMIFS(FATURAMENTO!$H$8:$H$1048576,FATURAMENTO!$M$8:$M$1048576,DIARIO!D$8,FATURAMENTO!$I$8:$I$1048576,DIARIO!C47)</f>
        <v>0</v>
      </c>
      <c r="E47" s="18">
        <f ca="1">SUMIFS(FATURAMENTO!$H$8:$H$1048576,FATURAMENTO!$M$8:$M$1048576,DIARIO!E$8,FATURAMENTO!$I$8:$I$1048576,C47)</f>
        <v>1333.33</v>
      </c>
    </row>
    <row r="48" spans="2:5">
      <c r="B48" s="22" t="str">
        <f t="shared" si="0"/>
        <v>segunda-feira</v>
      </c>
      <c r="C48" s="16">
        <v>46062</v>
      </c>
      <c r="D48" s="18">
        <f ca="1">SUMIFS(FATURAMENTO!$H$8:$H$1048576,FATURAMENTO!$M$8:$M$1048576,DIARIO!D$8,FATURAMENTO!$I$8:$I$1048576,DIARIO!C48)</f>
        <v>0</v>
      </c>
      <c r="E48" s="18">
        <f ca="1">SUMIFS(FATURAMENTO!$H$8:$H$1048576,FATURAMENTO!$M$8:$M$1048576,DIARIO!E$8,FATURAMENTO!$I$8:$I$1048576,C48)</f>
        <v>0</v>
      </c>
    </row>
    <row r="49" spans="2:5">
      <c r="B49" s="22" t="str">
        <f t="shared" si="0"/>
        <v>terça-feira</v>
      </c>
      <c r="C49" s="16">
        <v>46063</v>
      </c>
      <c r="D49" s="18">
        <f ca="1">SUMIFS(FATURAMENTO!$H$8:$H$1048576,FATURAMENTO!$M$8:$M$1048576,DIARIO!D$8,FATURAMENTO!$I$8:$I$1048576,DIARIO!C49)</f>
        <v>0</v>
      </c>
      <c r="E49" s="18">
        <f ca="1">SUMIFS(FATURAMENTO!$H$8:$H$1048576,FATURAMENTO!$M$8:$M$1048576,DIARIO!E$8,FATURAMENTO!$I$8:$I$1048576,C49)</f>
        <v>0</v>
      </c>
    </row>
    <row r="50" spans="2:5">
      <c r="B50" s="22" t="str">
        <f t="shared" si="0"/>
        <v>quarta-feira</v>
      </c>
      <c r="C50" s="16">
        <v>46064</v>
      </c>
      <c r="D50" s="18">
        <f ca="1">SUMIFS(FATURAMENTO!$H$8:$H$1048576,FATURAMENTO!$M$8:$M$1048576,DIARIO!D$8,FATURAMENTO!$I$8:$I$1048576,DIARIO!C50)</f>
        <v>0</v>
      </c>
      <c r="E50" s="18">
        <f ca="1">SUMIFS(FATURAMENTO!$H$8:$H$1048576,FATURAMENTO!$M$8:$M$1048576,DIARIO!E$8,FATURAMENTO!$I$8:$I$1048576,C50)</f>
        <v>0</v>
      </c>
    </row>
    <row r="51" spans="2:5">
      <c r="B51" s="22" t="str">
        <f t="shared" si="0"/>
        <v>quinta-feira</v>
      </c>
      <c r="C51" s="16">
        <v>46065</v>
      </c>
      <c r="D51" s="18">
        <f ca="1">SUMIFS(FATURAMENTO!$H$8:$H$1048576,FATURAMENTO!$M$8:$M$1048576,DIARIO!D$8,FATURAMENTO!$I$8:$I$1048576,DIARIO!C51)</f>
        <v>0</v>
      </c>
      <c r="E51" s="18">
        <f ca="1">SUMIFS(FATURAMENTO!$H$8:$H$1048576,FATURAMENTO!$M$8:$M$1048576,DIARIO!E$8,FATURAMENTO!$I$8:$I$1048576,C51)</f>
        <v>4201.25</v>
      </c>
    </row>
    <row r="52" spans="2:5">
      <c r="B52" s="22" t="str">
        <f t="shared" si="0"/>
        <v>sexta-feira</v>
      </c>
      <c r="C52" s="16">
        <v>46066</v>
      </c>
      <c r="D52" s="18">
        <f ca="1">SUMIFS(FATURAMENTO!$H$8:$H$1048576,FATURAMENTO!$M$8:$M$1048576,DIARIO!D$8,FATURAMENTO!$I$8:$I$1048576,DIARIO!C52)</f>
        <v>0</v>
      </c>
      <c r="E52" s="18">
        <f ca="1">SUMIFS(FATURAMENTO!$H$8:$H$1048576,FATURAMENTO!$M$8:$M$1048576,DIARIO!E$8,FATURAMENTO!$I$8:$I$1048576,C52)</f>
        <v>0</v>
      </c>
    </row>
    <row r="53" spans="2:5">
      <c r="B53" s="22" t="str">
        <f t="shared" si="0"/>
        <v>sábado</v>
      </c>
      <c r="C53" s="16">
        <v>46067</v>
      </c>
      <c r="D53" s="18">
        <f ca="1">SUMIFS(FATURAMENTO!$H$8:$H$1048576,FATURAMENTO!$M$8:$M$1048576,DIARIO!D$8,FATURAMENTO!$I$8:$I$1048576,DIARIO!C53)</f>
        <v>0</v>
      </c>
      <c r="E53" s="18">
        <f ca="1">SUMIFS(FATURAMENTO!$H$8:$H$1048576,FATURAMENTO!$M$8:$M$1048576,DIARIO!E$8,FATURAMENTO!$I$8:$I$1048576,C53)</f>
        <v>0</v>
      </c>
    </row>
    <row r="54" spans="2:5">
      <c r="B54" s="22" t="str">
        <f t="shared" si="0"/>
        <v>domingo</v>
      </c>
      <c r="C54" s="16">
        <v>46068</v>
      </c>
      <c r="D54" s="18">
        <f ca="1">SUMIFS(FATURAMENTO!$H$8:$H$1048576,FATURAMENTO!$M$8:$M$1048576,DIARIO!D$8,FATURAMENTO!$I$8:$I$1048576,DIARIO!C54)</f>
        <v>0</v>
      </c>
      <c r="E54" s="18">
        <f ca="1">SUMIFS(FATURAMENTO!$H$8:$H$1048576,FATURAMENTO!$M$8:$M$1048576,DIARIO!E$8,FATURAMENTO!$I$8:$I$1048576,C54)</f>
        <v>0</v>
      </c>
    </row>
    <row r="55" spans="2:5">
      <c r="B55" s="22" t="str">
        <f t="shared" si="0"/>
        <v>segunda-feira</v>
      </c>
      <c r="C55" s="16">
        <v>46069</v>
      </c>
      <c r="D55" s="18">
        <f ca="1">SUMIFS(FATURAMENTO!$H$8:$H$1048576,FATURAMENTO!$M$8:$M$1048576,DIARIO!D$8,FATURAMENTO!$I$8:$I$1048576,DIARIO!C55)</f>
        <v>0</v>
      </c>
      <c r="E55" s="18">
        <f ca="1">SUMIFS(FATURAMENTO!$H$8:$H$1048576,FATURAMENTO!$M$8:$M$1048576,DIARIO!E$8,FATURAMENTO!$I$8:$I$1048576,C55)</f>
        <v>0</v>
      </c>
    </row>
    <row r="56" spans="2:5">
      <c r="B56" s="22" t="str">
        <f t="shared" si="0"/>
        <v>terça-feira</v>
      </c>
      <c r="C56" s="16">
        <v>46070</v>
      </c>
      <c r="D56" s="18">
        <f ca="1">SUMIFS(FATURAMENTO!$H$8:$H$1048576,FATURAMENTO!$M$8:$M$1048576,DIARIO!D$8,FATURAMENTO!$I$8:$I$1048576,DIARIO!C56)</f>
        <v>0</v>
      </c>
      <c r="E56" s="18">
        <f ca="1">SUMIFS(FATURAMENTO!$H$8:$H$1048576,FATURAMENTO!$M$8:$M$1048576,DIARIO!E$8,FATURAMENTO!$I$8:$I$1048576,C56)</f>
        <v>0</v>
      </c>
    </row>
    <row r="57" spans="2:5">
      <c r="B57" s="22" t="str">
        <f t="shared" si="0"/>
        <v>quarta-feira</v>
      </c>
      <c r="C57" s="16">
        <v>46071</v>
      </c>
      <c r="D57" s="18">
        <f ca="1">SUMIFS(FATURAMENTO!$H$8:$H$1048576,FATURAMENTO!$M$8:$M$1048576,DIARIO!D$8,FATURAMENTO!$I$8:$I$1048576,DIARIO!C57)</f>
        <v>0</v>
      </c>
      <c r="E57" s="18">
        <f ca="1">SUMIFS(FATURAMENTO!$H$8:$H$1048576,FATURAMENTO!$M$8:$M$1048576,DIARIO!E$8,FATURAMENTO!$I$8:$I$1048576,C57)</f>
        <v>0</v>
      </c>
    </row>
    <row r="58" spans="2:5">
      <c r="B58" s="22" t="str">
        <f t="shared" si="0"/>
        <v>quinta-feira</v>
      </c>
      <c r="C58" s="16">
        <v>46072</v>
      </c>
      <c r="D58" s="18">
        <f ca="1">SUMIFS(FATURAMENTO!$H$8:$H$1048576,FATURAMENTO!$M$8:$M$1048576,DIARIO!D$8,FATURAMENTO!$I$8:$I$1048576,DIARIO!C58)</f>
        <v>0</v>
      </c>
      <c r="E58" s="18">
        <f ca="1">SUMIFS(FATURAMENTO!$H$8:$H$1048576,FATURAMENTO!$M$8:$M$1048576,DIARIO!E$8,FATURAMENTO!$I$8:$I$1048576,C58)</f>
        <v>1962</v>
      </c>
    </row>
    <row r="59" spans="2:5">
      <c r="B59" s="22" t="str">
        <f t="shared" si="0"/>
        <v>sexta-feira</v>
      </c>
      <c r="C59" s="16">
        <v>46073</v>
      </c>
      <c r="D59" s="18">
        <f ca="1">SUMIFS(FATURAMENTO!$H$8:$H$1048576,FATURAMENTO!$M$8:$M$1048576,DIARIO!D$8,FATURAMENTO!$I$8:$I$1048576,DIARIO!C59)</f>
        <v>0</v>
      </c>
      <c r="E59" s="18">
        <f ca="1">SUMIFS(FATURAMENTO!$H$8:$H$1048576,FATURAMENTO!$M$8:$M$1048576,DIARIO!E$8,FATURAMENTO!$I$8:$I$1048576,C59)</f>
        <v>0</v>
      </c>
    </row>
    <row r="60" spans="2:5">
      <c r="B60" s="22" t="str">
        <f t="shared" si="0"/>
        <v>sábado</v>
      </c>
      <c r="C60" s="16">
        <v>46074</v>
      </c>
      <c r="D60" s="18">
        <f ca="1">SUMIFS(FATURAMENTO!$H$8:$H$1048576,FATURAMENTO!$M$8:$M$1048576,DIARIO!D$8,FATURAMENTO!$I$8:$I$1048576,DIARIO!C60)</f>
        <v>0</v>
      </c>
      <c r="E60" s="18">
        <f ca="1">SUMIFS(FATURAMENTO!$H$8:$H$1048576,FATURAMENTO!$M$8:$M$1048576,DIARIO!E$8,FATURAMENTO!$I$8:$I$1048576,C60)</f>
        <v>0</v>
      </c>
    </row>
    <row r="61" spans="2:5">
      <c r="B61" s="22" t="str">
        <f t="shared" si="0"/>
        <v>domingo</v>
      </c>
      <c r="C61" s="16">
        <v>46075</v>
      </c>
      <c r="D61" s="18">
        <f ca="1">SUMIFS(FATURAMENTO!$H$8:$H$1048576,FATURAMENTO!$M$8:$M$1048576,DIARIO!D$8,FATURAMENTO!$I$8:$I$1048576,DIARIO!C61)</f>
        <v>0</v>
      </c>
      <c r="E61" s="18">
        <f ca="1">SUMIFS(FATURAMENTO!$H$8:$H$1048576,FATURAMENTO!$M$8:$M$1048576,DIARIO!E$8,FATURAMENTO!$I$8:$I$1048576,C61)</f>
        <v>0</v>
      </c>
    </row>
    <row r="62" spans="2:5">
      <c r="B62" s="22" t="str">
        <f t="shared" si="0"/>
        <v>segunda-feira</v>
      </c>
      <c r="C62" s="16">
        <v>46076</v>
      </c>
      <c r="D62" s="18">
        <f ca="1">SUMIFS(FATURAMENTO!$H$8:$H$1048576,FATURAMENTO!$M$8:$M$1048576,DIARIO!D$8,FATURAMENTO!$I$8:$I$1048576,DIARIO!C62)</f>
        <v>0</v>
      </c>
      <c r="E62" s="18">
        <f ca="1">SUMIFS(FATURAMENTO!$H$8:$H$1048576,FATURAMENTO!$M$8:$M$1048576,DIARIO!E$8,FATURAMENTO!$I$8:$I$1048576,C62)</f>
        <v>0</v>
      </c>
    </row>
    <row r="63" spans="2:5">
      <c r="B63" s="22" t="str">
        <f t="shared" si="0"/>
        <v>terça-feira</v>
      </c>
      <c r="C63" s="16">
        <v>46077</v>
      </c>
      <c r="D63" s="18">
        <f ca="1">SUMIFS(FATURAMENTO!$H$8:$H$1048576,FATURAMENTO!$M$8:$M$1048576,DIARIO!D$8,FATURAMENTO!$I$8:$I$1048576,DIARIO!C63)</f>
        <v>0</v>
      </c>
      <c r="E63" s="18">
        <f ca="1">SUMIFS(FATURAMENTO!$H$8:$H$1048576,FATURAMENTO!$M$8:$M$1048576,DIARIO!E$8,FATURAMENTO!$I$8:$I$1048576,C63)</f>
        <v>0</v>
      </c>
    </row>
    <row r="64" spans="2:5">
      <c r="B64" s="22" t="str">
        <f t="shared" si="0"/>
        <v>quarta-feira</v>
      </c>
      <c r="C64" s="16">
        <v>46078</v>
      </c>
      <c r="D64" s="18">
        <f ca="1">SUMIFS(FATURAMENTO!$H$8:$H$1048576,FATURAMENTO!$M$8:$M$1048576,DIARIO!D$8,FATURAMENTO!$I$8:$I$1048576,DIARIO!C64)</f>
        <v>0</v>
      </c>
      <c r="E64" s="18">
        <f ca="1">SUMIFS(FATURAMENTO!$H$8:$H$1048576,FATURAMENTO!$M$8:$M$1048576,DIARIO!E$8,FATURAMENTO!$I$8:$I$1048576,C64)</f>
        <v>13518.75</v>
      </c>
    </row>
    <row r="65" spans="2:5">
      <c r="B65" s="22" t="str">
        <f t="shared" si="0"/>
        <v>quinta-feira</v>
      </c>
      <c r="C65" s="16">
        <v>46079</v>
      </c>
      <c r="D65" s="18">
        <f ca="1">SUMIFS(FATURAMENTO!$H$8:$H$1048576,FATURAMENTO!$M$8:$M$1048576,DIARIO!D$8,FATURAMENTO!$I$8:$I$1048576,DIARIO!C65)</f>
        <v>0</v>
      </c>
      <c r="E65" s="18">
        <f ca="1">SUMIFS(FATURAMENTO!$H$8:$H$1048576,FATURAMENTO!$M$8:$M$1048576,DIARIO!E$8,FATURAMENTO!$I$8:$I$1048576,C65)</f>
        <v>6163.25</v>
      </c>
    </row>
    <row r="66" spans="2:5">
      <c r="B66" s="22" t="str">
        <f t="shared" si="0"/>
        <v>sexta-feira</v>
      </c>
      <c r="C66" s="16">
        <v>46080</v>
      </c>
      <c r="D66" s="18">
        <f ca="1">SUMIFS(FATURAMENTO!$H$8:$H$1048576,FATURAMENTO!$M$8:$M$1048576,DIARIO!D$8,FATURAMENTO!$I$8:$I$1048576,DIARIO!C66)</f>
        <v>0</v>
      </c>
      <c r="E66" s="18">
        <f ca="1">SUMIFS(FATURAMENTO!$H$8:$H$1048576,FATURAMENTO!$M$8:$M$1048576,DIARIO!E$8,FATURAMENTO!$I$8:$I$1048576,C66)</f>
        <v>0</v>
      </c>
    </row>
    <row r="67" spans="2:5">
      <c r="B67" s="22" t="str">
        <f t="shared" si="0"/>
        <v>sábado</v>
      </c>
      <c r="C67" s="16">
        <v>46081</v>
      </c>
      <c r="D67" s="18">
        <f ca="1">SUMIFS(FATURAMENTO!$H$8:$H$1048576,FATURAMENTO!$M$8:$M$1048576,DIARIO!D$8,FATURAMENTO!$I$8:$I$1048576,DIARIO!C67)</f>
        <v>0</v>
      </c>
      <c r="E67" s="18">
        <f ca="1">SUMIFS(FATURAMENTO!$H$8:$H$1048576,FATURAMENTO!$M$8:$M$1048576,DIARIO!E$8,FATURAMENTO!$I$8:$I$1048576,C67)</f>
        <v>0</v>
      </c>
    </row>
    <row r="68" spans="2:5">
      <c r="B68" s="22" t="str">
        <f t="shared" si="0"/>
        <v>domingo</v>
      </c>
      <c r="C68" s="16">
        <v>46082</v>
      </c>
      <c r="D68" s="18">
        <f ca="1">SUMIFS(FATURAMENTO!$H$8:$H$1048576,FATURAMENTO!$M$8:$M$1048576,DIARIO!D$8,FATURAMENTO!$I$8:$I$1048576,DIARIO!C68)</f>
        <v>0</v>
      </c>
      <c r="E68" s="18">
        <f ca="1">SUMIFS(FATURAMENTO!$H$8:$H$1048576,FATURAMENTO!$M$8:$M$1048576,DIARIO!E$8,FATURAMENTO!$I$8:$I$1048576,C68)</f>
        <v>0</v>
      </c>
    </row>
    <row r="69" spans="2:5">
      <c r="B69" s="22" t="str">
        <f t="shared" si="0"/>
        <v>segunda-feira</v>
      </c>
      <c r="C69" s="16">
        <v>46083</v>
      </c>
      <c r="D69" s="18">
        <f ca="1">SUMIFS(FATURAMENTO!$H$8:$H$1048576,FATURAMENTO!$M$8:$M$1048576,DIARIO!D$8,FATURAMENTO!$I$8:$I$1048576,DIARIO!C69)</f>
        <v>0</v>
      </c>
      <c r="E69" s="18">
        <f ca="1">SUMIFS(FATURAMENTO!$H$8:$H$1048576,FATURAMENTO!$M$8:$M$1048576,DIARIO!E$8,FATURAMENTO!$I$8:$I$1048576,C69)</f>
        <v>18500</v>
      </c>
    </row>
    <row r="70" spans="2:5">
      <c r="B70" s="22" t="str">
        <f t="shared" si="0"/>
        <v>terça-feira</v>
      </c>
      <c r="C70" s="16">
        <v>46084</v>
      </c>
      <c r="D70" s="18">
        <f ca="1">SUMIFS(FATURAMENTO!$H$8:$H$1048576,FATURAMENTO!$M$8:$M$1048576,DIARIO!D$8,FATURAMENTO!$I$8:$I$1048576,DIARIO!C70)</f>
        <v>0</v>
      </c>
      <c r="E70" s="18">
        <f ca="1">SUMIFS(FATURAMENTO!$H$8:$H$1048576,FATURAMENTO!$M$8:$M$1048576,DIARIO!E$8,FATURAMENTO!$I$8:$I$1048576,C70)</f>
        <v>0</v>
      </c>
    </row>
    <row r="71" spans="2:5">
      <c r="B71" s="22" t="str">
        <f t="shared" si="0"/>
        <v>quarta-feira</v>
      </c>
      <c r="C71" s="16">
        <v>46085</v>
      </c>
      <c r="D71" s="18">
        <f ca="1">SUMIFS(FATURAMENTO!$H$8:$H$1048576,FATURAMENTO!$M$8:$M$1048576,DIARIO!D$8,FATURAMENTO!$I$8:$I$1048576,DIARIO!C71)</f>
        <v>0</v>
      </c>
      <c r="E71" s="18">
        <f ca="1">SUMIFS(FATURAMENTO!$H$8:$H$1048576,FATURAMENTO!$M$8:$M$1048576,DIARIO!E$8,FATURAMENTO!$I$8:$I$1048576,C71)</f>
        <v>0</v>
      </c>
    </row>
    <row r="72" spans="2:5">
      <c r="B72" s="22" t="str">
        <f t="shared" si="0"/>
        <v>quinta-feira</v>
      </c>
      <c r="C72" s="16">
        <v>46086</v>
      </c>
      <c r="D72" s="18">
        <f ca="1">SUMIFS(FATURAMENTO!$H$8:$H$1048576,FATURAMENTO!$M$8:$M$1048576,DIARIO!D$8,FATURAMENTO!$I$8:$I$1048576,DIARIO!C72)</f>
        <v>0</v>
      </c>
      <c r="E72" s="18">
        <f ca="1">SUMIFS(FATURAMENTO!$H$8:$H$1048576,FATURAMENTO!$M$8:$M$1048576,DIARIO!E$8,FATURAMENTO!$I$8:$I$1048576,C72)</f>
        <v>1962</v>
      </c>
    </row>
    <row r="73" spans="2:5">
      <c r="B73" s="22" t="str">
        <f t="shared" ref="B73:B136" si="1">TEXT(C73,"dddd")</f>
        <v>sexta-feira</v>
      </c>
      <c r="C73" s="16">
        <v>46087</v>
      </c>
      <c r="D73" s="18">
        <f ca="1">SUMIFS(FATURAMENTO!$H$8:$H$1048576,FATURAMENTO!$M$8:$M$1048576,DIARIO!D$8,FATURAMENTO!$I$8:$I$1048576,DIARIO!C73)</f>
        <v>0</v>
      </c>
      <c r="E73" s="18">
        <f ca="1">SUMIFS(FATURAMENTO!$H$8:$H$1048576,FATURAMENTO!$M$8:$M$1048576,DIARIO!E$8,FATURAMENTO!$I$8:$I$1048576,C73)</f>
        <v>2704.27</v>
      </c>
    </row>
    <row r="74" spans="2:5">
      <c r="B74" s="22" t="str">
        <f t="shared" si="1"/>
        <v>sábado</v>
      </c>
      <c r="C74" s="16">
        <v>46088</v>
      </c>
      <c r="D74" s="18">
        <f ca="1">SUMIFS(FATURAMENTO!$H$8:$H$1048576,FATURAMENTO!$M$8:$M$1048576,DIARIO!D$8,FATURAMENTO!$I$8:$I$1048576,DIARIO!C74)</f>
        <v>0</v>
      </c>
      <c r="E74" s="18">
        <f ca="1">SUMIFS(FATURAMENTO!$H$8:$H$1048576,FATURAMENTO!$M$8:$M$1048576,DIARIO!E$8,FATURAMENTO!$I$8:$I$1048576,C74)</f>
        <v>0</v>
      </c>
    </row>
    <row r="75" spans="2:5">
      <c r="B75" s="22" t="str">
        <f t="shared" si="1"/>
        <v>domingo</v>
      </c>
      <c r="C75" s="16">
        <v>46089</v>
      </c>
      <c r="D75" s="18">
        <f ca="1">SUMIFS(FATURAMENTO!$H$8:$H$1048576,FATURAMENTO!$M$8:$M$1048576,DIARIO!D$8,FATURAMENTO!$I$8:$I$1048576,DIARIO!C75)</f>
        <v>0</v>
      </c>
      <c r="E75" s="18">
        <f ca="1">SUMIFS(FATURAMENTO!$H$8:$H$1048576,FATURAMENTO!$M$8:$M$1048576,DIARIO!E$8,FATURAMENTO!$I$8:$I$1048576,C75)</f>
        <v>0</v>
      </c>
    </row>
    <row r="76" spans="2:5">
      <c r="B76" s="22" t="str">
        <f t="shared" si="1"/>
        <v>segunda-feira</v>
      </c>
      <c r="C76" s="16">
        <v>46090</v>
      </c>
      <c r="D76" s="18">
        <f ca="1">SUMIFS(FATURAMENTO!$H$8:$H$1048576,FATURAMENTO!$M$8:$M$1048576,DIARIO!D$8,FATURAMENTO!$I$8:$I$1048576,DIARIO!C76)</f>
        <v>0</v>
      </c>
      <c r="E76" s="18">
        <f ca="1">SUMIFS(FATURAMENTO!$H$8:$H$1048576,FATURAMENTO!$M$8:$M$1048576,DIARIO!E$8,FATURAMENTO!$I$8:$I$1048576,C76)</f>
        <v>4540</v>
      </c>
    </row>
    <row r="77" spans="2:5">
      <c r="B77" s="22" t="str">
        <f t="shared" si="1"/>
        <v>terça-feira</v>
      </c>
      <c r="C77" s="16">
        <v>46091</v>
      </c>
      <c r="D77" s="18">
        <f ca="1">SUMIFS(FATURAMENTO!$H$8:$H$1048576,FATURAMENTO!$M$8:$M$1048576,DIARIO!D$8,FATURAMENTO!$I$8:$I$1048576,DIARIO!C77)</f>
        <v>0</v>
      </c>
      <c r="E77" s="18">
        <f ca="1">SUMIFS(FATURAMENTO!$H$8:$H$1048576,FATURAMENTO!$M$8:$M$1048576,DIARIO!E$8,FATURAMENTO!$I$8:$I$1048576,C77)</f>
        <v>1333.34</v>
      </c>
    </row>
    <row r="78" spans="2:5">
      <c r="B78" s="22" t="str">
        <f t="shared" si="1"/>
        <v>quarta-feira</v>
      </c>
      <c r="C78" s="16">
        <v>46092</v>
      </c>
      <c r="D78" s="18">
        <f ca="1">SUMIFS(FATURAMENTO!$H$8:$H$1048576,FATURAMENTO!$M$8:$M$1048576,DIARIO!D$8,FATURAMENTO!$I$8:$I$1048576,DIARIO!C78)</f>
        <v>0</v>
      </c>
      <c r="E78" s="18">
        <f ca="1">SUMIFS(FATURAMENTO!$H$8:$H$1048576,FATURAMENTO!$M$8:$M$1048576,DIARIO!E$8,FATURAMENTO!$I$8:$I$1048576,C78)</f>
        <v>18158.059999999998</v>
      </c>
    </row>
    <row r="79" spans="2:5">
      <c r="B79" s="22" t="str">
        <f t="shared" si="1"/>
        <v>quinta-feira</v>
      </c>
      <c r="C79" s="16">
        <v>46093</v>
      </c>
      <c r="D79" s="18">
        <f ca="1">SUMIFS(FATURAMENTO!$H$8:$H$1048576,FATURAMENTO!$M$8:$M$1048576,DIARIO!D$8,FATURAMENTO!$I$8:$I$1048576,DIARIO!C79)</f>
        <v>0</v>
      </c>
      <c r="E79" s="18">
        <f ca="1">SUMIFS(FATURAMENTO!$H$8:$H$1048576,FATURAMENTO!$M$8:$M$1048576,DIARIO!E$8,FATURAMENTO!$I$8:$I$1048576,C79)</f>
        <v>50836.41</v>
      </c>
    </row>
    <row r="80" spans="2:5">
      <c r="B80" s="22" t="str">
        <f t="shared" si="1"/>
        <v>sexta-feira</v>
      </c>
      <c r="C80" s="16">
        <v>46094</v>
      </c>
      <c r="D80" s="18">
        <f ca="1">SUMIFS(FATURAMENTO!$H$8:$H$1048576,FATURAMENTO!$M$8:$M$1048576,DIARIO!D$8,FATURAMENTO!$I$8:$I$1048576,DIARIO!C80)</f>
        <v>0</v>
      </c>
      <c r="E80" s="18">
        <f ca="1">SUMIFS(FATURAMENTO!$H$8:$H$1048576,FATURAMENTO!$M$8:$M$1048576,DIARIO!E$8,FATURAMENTO!$I$8:$I$1048576,C80)</f>
        <v>3845</v>
      </c>
    </row>
    <row r="81" spans="2:5">
      <c r="B81" s="22" t="str">
        <f t="shared" si="1"/>
        <v>sábado</v>
      </c>
      <c r="C81" s="16">
        <v>46095</v>
      </c>
      <c r="D81" s="18">
        <f ca="1">SUMIFS(FATURAMENTO!$H$8:$H$1048576,FATURAMENTO!$M$8:$M$1048576,DIARIO!D$8,FATURAMENTO!$I$8:$I$1048576,DIARIO!C81)</f>
        <v>0</v>
      </c>
      <c r="E81" s="18">
        <f ca="1">SUMIFS(FATURAMENTO!$H$8:$H$1048576,FATURAMENTO!$M$8:$M$1048576,DIARIO!E$8,FATURAMENTO!$I$8:$I$1048576,C81)</f>
        <v>2825.19</v>
      </c>
    </row>
    <row r="82" spans="2:5">
      <c r="B82" s="22" t="str">
        <f t="shared" si="1"/>
        <v>domingo</v>
      </c>
      <c r="C82" s="16">
        <v>46096</v>
      </c>
      <c r="D82" s="18">
        <f ca="1">SUMIFS(FATURAMENTO!$H$8:$H$1048576,FATURAMENTO!$M$8:$M$1048576,DIARIO!D$8,FATURAMENTO!$I$8:$I$1048576,DIARIO!C82)</f>
        <v>0</v>
      </c>
      <c r="E82" s="18">
        <f ca="1">SUMIFS(FATURAMENTO!$H$8:$H$1048576,FATURAMENTO!$M$8:$M$1048576,DIARIO!E$8,FATURAMENTO!$I$8:$I$1048576,C82)</f>
        <v>4266.5</v>
      </c>
    </row>
    <row r="83" spans="2:5">
      <c r="B83" s="22" t="str">
        <f t="shared" si="1"/>
        <v>segunda-feira</v>
      </c>
      <c r="C83" s="16">
        <v>46097</v>
      </c>
      <c r="D83" s="18">
        <f ca="1">SUMIFS(FATURAMENTO!$H$8:$H$1048576,FATURAMENTO!$M$8:$M$1048576,DIARIO!D$8,FATURAMENTO!$I$8:$I$1048576,DIARIO!C83)</f>
        <v>0</v>
      </c>
      <c r="E83" s="18">
        <f ca="1">SUMIFS(FATURAMENTO!$H$8:$H$1048576,FATURAMENTO!$M$8:$M$1048576,DIARIO!E$8,FATURAMENTO!$I$8:$I$1048576,C83)</f>
        <v>17096.669999999998</v>
      </c>
    </row>
    <row r="84" spans="2:5">
      <c r="B84" s="22" t="str">
        <f t="shared" si="1"/>
        <v>terça-feira</v>
      </c>
      <c r="C84" s="16">
        <v>46098</v>
      </c>
      <c r="D84" s="18">
        <f ca="1">SUMIFS(FATURAMENTO!$H$8:$H$1048576,FATURAMENTO!$M$8:$M$1048576,DIARIO!D$8,FATURAMENTO!$I$8:$I$1048576,DIARIO!C84)</f>
        <v>19763.640000000003</v>
      </c>
      <c r="E84" s="18">
        <f ca="1">SUMIFS(FATURAMENTO!$H$8:$H$1048576,FATURAMENTO!$M$8:$M$1048576,DIARIO!E$8,FATURAMENTO!$I$8:$I$1048576,C84)</f>
        <v>0</v>
      </c>
    </row>
    <row r="85" spans="2:5">
      <c r="B85" s="22" t="str">
        <f t="shared" si="1"/>
        <v>quarta-feira</v>
      </c>
      <c r="C85" s="16">
        <v>46099</v>
      </c>
      <c r="D85" s="18">
        <f ca="1">SUMIFS(FATURAMENTO!$H$8:$H$1048576,FATURAMENTO!$M$8:$M$1048576,DIARIO!D$8,FATURAMENTO!$I$8:$I$1048576,DIARIO!C85)</f>
        <v>16930.45</v>
      </c>
      <c r="E85" s="18">
        <f ca="1">SUMIFS(FATURAMENTO!$H$8:$H$1048576,FATURAMENTO!$M$8:$M$1048576,DIARIO!E$8,FATURAMENTO!$I$8:$I$1048576,C85)</f>
        <v>0</v>
      </c>
    </row>
    <row r="86" spans="2:5">
      <c r="B86" s="22" t="str">
        <f t="shared" si="1"/>
        <v>quinta-feira</v>
      </c>
      <c r="C86" s="16">
        <v>46100</v>
      </c>
      <c r="D86" s="18">
        <f ca="1">SUMIFS(FATURAMENTO!$H$8:$H$1048576,FATURAMENTO!$M$8:$M$1048576,DIARIO!D$8,FATURAMENTO!$I$8:$I$1048576,DIARIO!C86)</f>
        <v>23615.759999999995</v>
      </c>
      <c r="E86" s="18">
        <f ca="1">SUMIFS(FATURAMENTO!$H$8:$H$1048576,FATURAMENTO!$M$8:$M$1048576,DIARIO!E$8,FATURAMENTO!$I$8:$I$1048576,C86)</f>
        <v>0</v>
      </c>
    </row>
    <row r="87" spans="2:5">
      <c r="B87" s="22" t="str">
        <f t="shared" si="1"/>
        <v>sexta-feira</v>
      </c>
      <c r="C87" s="16">
        <v>46101</v>
      </c>
      <c r="D87" s="18">
        <f ca="1">SUMIFS(FATURAMENTO!$H$8:$H$1048576,FATURAMENTO!$M$8:$M$1048576,DIARIO!D$8,FATURAMENTO!$I$8:$I$1048576,DIARIO!C87)</f>
        <v>55729.209999999992</v>
      </c>
      <c r="E87" s="18">
        <f ca="1">SUMIFS(FATURAMENTO!$H$8:$H$1048576,FATURAMENTO!$M$8:$M$1048576,DIARIO!E$8,FATURAMENTO!$I$8:$I$1048576,C87)</f>
        <v>0</v>
      </c>
    </row>
    <row r="88" spans="2:5">
      <c r="B88" s="22" t="str">
        <f t="shared" si="1"/>
        <v>sábado</v>
      </c>
      <c r="C88" s="16">
        <v>46102</v>
      </c>
      <c r="D88" s="18">
        <f ca="1">SUMIFS(FATURAMENTO!$H$8:$H$1048576,FATURAMENTO!$M$8:$M$1048576,DIARIO!D$8,FATURAMENTO!$I$8:$I$1048576,DIARIO!C88)</f>
        <v>24900.699999999997</v>
      </c>
      <c r="E88" s="18">
        <f ca="1">SUMIFS(FATURAMENTO!$H$8:$H$1048576,FATURAMENTO!$M$8:$M$1048576,DIARIO!E$8,FATURAMENTO!$I$8:$I$1048576,C88)</f>
        <v>0</v>
      </c>
    </row>
    <row r="89" spans="2:5">
      <c r="B89" s="22" t="str">
        <f t="shared" si="1"/>
        <v>domingo</v>
      </c>
      <c r="C89" s="16">
        <v>46103</v>
      </c>
      <c r="D89" s="18">
        <f ca="1">SUMIFS(FATURAMENTO!$H$8:$H$1048576,FATURAMENTO!$M$8:$M$1048576,DIARIO!D$8,FATURAMENTO!$I$8:$I$1048576,DIARIO!C89)</f>
        <v>5196</v>
      </c>
      <c r="E89" s="18">
        <f ca="1">SUMIFS(FATURAMENTO!$H$8:$H$1048576,FATURAMENTO!$M$8:$M$1048576,DIARIO!E$8,FATURAMENTO!$I$8:$I$1048576,C89)</f>
        <v>0</v>
      </c>
    </row>
    <row r="90" spans="2:5">
      <c r="B90" s="22" t="str">
        <f t="shared" si="1"/>
        <v>segunda-feira</v>
      </c>
      <c r="C90" s="16">
        <v>46104</v>
      </c>
      <c r="D90" s="18">
        <f ca="1">SUMIFS(FATURAMENTO!$H$8:$H$1048576,FATURAMENTO!$M$8:$M$1048576,DIARIO!D$8,FATURAMENTO!$I$8:$I$1048576,DIARIO!C90)</f>
        <v>472449.32999999996</v>
      </c>
      <c r="E90" s="18">
        <f ca="1">SUMIFS(FATURAMENTO!$H$8:$H$1048576,FATURAMENTO!$M$8:$M$1048576,DIARIO!E$8,FATURAMENTO!$I$8:$I$1048576,C90)</f>
        <v>0</v>
      </c>
    </row>
    <row r="91" spans="2:5">
      <c r="B91" s="22" t="str">
        <f t="shared" si="1"/>
        <v>terça-feira</v>
      </c>
      <c r="C91" s="16">
        <v>46105</v>
      </c>
      <c r="D91" s="18">
        <f ca="1">SUMIFS(FATURAMENTO!$H$8:$H$1048576,FATURAMENTO!$M$8:$M$1048576,DIARIO!D$8,FATURAMENTO!$I$8:$I$1048576,DIARIO!C91)</f>
        <v>12044.3</v>
      </c>
      <c r="E91" s="18">
        <f ca="1">SUMIFS(FATURAMENTO!$H$8:$H$1048576,FATURAMENTO!$M$8:$M$1048576,DIARIO!E$8,FATURAMENTO!$I$8:$I$1048576,C91)</f>
        <v>0</v>
      </c>
    </row>
    <row r="92" spans="2:5">
      <c r="B92" s="22" t="str">
        <f t="shared" si="1"/>
        <v>quarta-feira</v>
      </c>
      <c r="C92" s="16">
        <v>46106</v>
      </c>
      <c r="D92" s="18">
        <f ca="1">SUMIFS(FATURAMENTO!$H$8:$H$1048576,FATURAMENTO!$M$8:$M$1048576,DIARIO!D$8,FATURAMENTO!$I$8:$I$1048576,DIARIO!C92)</f>
        <v>11667.75</v>
      </c>
      <c r="E92" s="18">
        <f ca="1">SUMIFS(FATURAMENTO!$H$8:$H$1048576,FATURAMENTO!$M$8:$M$1048576,DIARIO!E$8,FATURAMENTO!$I$8:$I$1048576,C92)</f>
        <v>0</v>
      </c>
    </row>
    <row r="93" spans="2:5">
      <c r="B93" s="22" t="str">
        <f t="shared" si="1"/>
        <v>quinta-feira</v>
      </c>
      <c r="C93" s="16">
        <v>46107</v>
      </c>
      <c r="D93" s="18">
        <f ca="1">SUMIFS(FATURAMENTO!$H$8:$H$1048576,FATURAMENTO!$M$8:$M$1048576,DIARIO!D$8,FATURAMENTO!$I$8:$I$1048576,DIARIO!C93)</f>
        <v>103542.44</v>
      </c>
      <c r="E93" s="18">
        <f ca="1">SUMIFS(FATURAMENTO!$H$8:$H$1048576,FATURAMENTO!$M$8:$M$1048576,DIARIO!E$8,FATURAMENTO!$I$8:$I$1048576,C93)</f>
        <v>0</v>
      </c>
    </row>
    <row r="94" spans="2:5">
      <c r="B94" s="22" t="str">
        <f t="shared" si="1"/>
        <v>sexta-feira</v>
      </c>
      <c r="C94" s="16">
        <v>46108</v>
      </c>
      <c r="D94" s="18">
        <f ca="1">SUMIFS(FATURAMENTO!$H$8:$H$1048576,FATURAMENTO!$M$8:$M$1048576,DIARIO!D$8,FATURAMENTO!$I$8:$I$1048576,DIARIO!C94)</f>
        <v>66435.680000000008</v>
      </c>
      <c r="E94" s="18">
        <f ca="1">SUMIFS(FATURAMENTO!$H$8:$H$1048576,FATURAMENTO!$M$8:$M$1048576,DIARIO!E$8,FATURAMENTO!$I$8:$I$1048576,C94)</f>
        <v>0</v>
      </c>
    </row>
    <row r="95" spans="2:5">
      <c r="B95" s="22" t="str">
        <f t="shared" si="1"/>
        <v>sábado</v>
      </c>
      <c r="C95" s="16">
        <v>46109</v>
      </c>
      <c r="D95" s="18">
        <f ca="1">SUMIFS(FATURAMENTO!$H$8:$H$1048576,FATURAMENTO!$M$8:$M$1048576,DIARIO!D$8,FATURAMENTO!$I$8:$I$1048576,DIARIO!C95)</f>
        <v>0</v>
      </c>
      <c r="E95" s="18">
        <f ca="1">SUMIFS(FATURAMENTO!$H$8:$H$1048576,FATURAMENTO!$M$8:$M$1048576,DIARIO!E$8,FATURAMENTO!$I$8:$I$1048576,C95)</f>
        <v>0</v>
      </c>
    </row>
    <row r="96" spans="2:5">
      <c r="B96" s="22" t="str">
        <f t="shared" si="1"/>
        <v>domingo</v>
      </c>
      <c r="C96" s="16">
        <v>46110</v>
      </c>
      <c r="D96" s="18">
        <f ca="1">SUMIFS(FATURAMENTO!$H$8:$H$1048576,FATURAMENTO!$M$8:$M$1048576,DIARIO!D$8,FATURAMENTO!$I$8:$I$1048576,DIARIO!C96)</f>
        <v>2825.19</v>
      </c>
      <c r="E96" s="18">
        <f ca="1">SUMIFS(FATURAMENTO!$H$8:$H$1048576,FATURAMENTO!$M$8:$M$1048576,DIARIO!E$8,FATURAMENTO!$I$8:$I$1048576,C96)</f>
        <v>0</v>
      </c>
    </row>
    <row r="97" spans="2:5">
      <c r="B97" s="22" t="str">
        <f t="shared" si="1"/>
        <v>segunda-feira</v>
      </c>
      <c r="C97" s="16">
        <v>46111</v>
      </c>
      <c r="D97" s="18">
        <f ca="1">SUMIFS(FATURAMENTO!$H$8:$H$1048576,FATURAMENTO!$M$8:$M$1048576,DIARIO!D$8,FATURAMENTO!$I$8:$I$1048576,DIARIO!C97)</f>
        <v>9292.74</v>
      </c>
      <c r="E97" s="18">
        <f ca="1">SUMIFS(FATURAMENTO!$H$8:$H$1048576,FATURAMENTO!$M$8:$M$1048576,DIARIO!E$8,FATURAMENTO!$I$8:$I$1048576,C97)</f>
        <v>0</v>
      </c>
    </row>
    <row r="98" spans="2:5">
      <c r="B98" s="22" t="str">
        <f t="shared" si="1"/>
        <v>terça-feira</v>
      </c>
      <c r="C98" s="16">
        <v>46112</v>
      </c>
      <c r="D98" s="18">
        <f ca="1">SUMIFS(FATURAMENTO!$H$8:$H$1048576,FATURAMENTO!$M$8:$M$1048576,DIARIO!D$8,FATURAMENTO!$I$8:$I$1048576,DIARIO!C98)</f>
        <v>55085.22</v>
      </c>
      <c r="E98" s="18">
        <f ca="1">SUMIFS(FATURAMENTO!$H$8:$H$1048576,FATURAMENTO!$M$8:$M$1048576,DIARIO!E$8,FATURAMENTO!$I$8:$I$1048576,C98)</f>
        <v>0</v>
      </c>
    </row>
    <row r="99" spans="2:5">
      <c r="B99" s="22" t="str">
        <f t="shared" si="1"/>
        <v>quarta-feira</v>
      </c>
      <c r="C99" s="16">
        <v>46113</v>
      </c>
      <c r="D99" s="18">
        <f ca="1">SUMIFS(FATURAMENTO!$H$8:$H$1048576,FATURAMENTO!$M$8:$M$1048576,DIARIO!D$8,FATURAMENTO!$I$8:$I$1048576,DIARIO!C99)</f>
        <v>2865.83</v>
      </c>
      <c r="E99" s="18">
        <f ca="1">SUMIFS(FATURAMENTO!$H$8:$H$1048576,FATURAMENTO!$M$8:$M$1048576,DIARIO!E$8,FATURAMENTO!$I$8:$I$1048576,C99)</f>
        <v>0</v>
      </c>
    </row>
    <row r="100" spans="2:5">
      <c r="B100" s="22" t="str">
        <f t="shared" si="1"/>
        <v>quinta-feira</v>
      </c>
      <c r="C100" s="16">
        <v>46114</v>
      </c>
      <c r="D100" s="18">
        <f ca="1">SUMIFS(FATURAMENTO!$H$8:$H$1048576,FATURAMENTO!$M$8:$M$1048576,DIARIO!D$8,FATURAMENTO!$I$8:$I$1048576,DIARIO!C100)</f>
        <v>47604.45</v>
      </c>
      <c r="E100" s="18">
        <f ca="1">SUMIFS(FATURAMENTO!$H$8:$H$1048576,FATURAMENTO!$M$8:$M$1048576,DIARIO!E$8,FATURAMENTO!$I$8:$I$1048576,C100)</f>
        <v>0</v>
      </c>
    </row>
    <row r="101" spans="2:5">
      <c r="B101" s="22" t="str">
        <f t="shared" si="1"/>
        <v>sexta-feira</v>
      </c>
      <c r="C101" s="16">
        <v>46115</v>
      </c>
      <c r="D101" s="18">
        <f ca="1">SUMIFS(FATURAMENTO!$H$8:$H$1048576,FATURAMENTO!$M$8:$M$1048576,DIARIO!D$8,FATURAMENTO!$I$8:$I$1048576,DIARIO!C101)</f>
        <v>211922.11</v>
      </c>
      <c r="E101" s="18">
        <f ca="1">SUMIFS(FATURAMENTO!$H$8:$H$1048576,FATURAMENTO!$M$8:$M$1048576,DIARIO!E$8,FATURAMENTO!$I$8:$I$1048576,C101)</f>
        <v>0</v>
      </c>
    </row>
    <row r="102" spans="2:5">
      <c r="B102" s="22" t="str">
        <f t="shared" si="1"/>
        <v>sábado</v>
      </c>
      <c r="C102" s="16">
        <v>46116</v>
      </c>
      <c r="D102" s="18">
        <f ca="1">SUMIFS(FATURAMENTO!$H$8:$H$1048576,FATURAMENTO!$M$8:$M$1048576,DIARIO!D$8,FATURAMENTO!$I$8:$I$1048576,DIARIO!C102)</f>
        <v>33929.86</v>
      </c>
      <c r="E102" s="18">
        <f ca="1">SUMIFS(FATURAMENTO!$H$8:$H$1048576,FATURAMENTO!$M$8:$M$1048576,DIARIO!E$8,FATURAMENTO!$I$8:$I$1048576,C102)</f>
        <v>0</v>
      </c>
    </row>
    <row r="103" spans="2:5">
      <c r="B103" s="22" t="str">
        <f t="shared" si="1"/>
        <v>domingo</v>
      </c>
      <c r="C103" s="16">
        <v>46117</v>
      </c>
      <c r="D103" s="18">
        <f ca="1">SUMIFS(FATURAMENTO!$H$8:$H$1048576,FATURAMENTO!$M$8:$M$1048576,DIARIO!D$8,FATURAMENTO!$I$8:$I$1048576,DIARIO!C103)</f>
        <v>35501.18</v>
      </c>
      <c r="E103" s="18">
        <f ca="1">SUMIFS(FATURAMENTO!$H$8:$H$1048576,FATURAMENTO!$M$8:$M$1048576,DIARIO!E$8,FATURAMENTO!$I$8:$I$1048576,C103)</f>
        <v>0</v>
      </c>
    </row>
    <row r="104" spans="2:5">
      <c r="B104" s="22" t="str">
        <f t="shared" si="1"/>
        <v>segunda-feira</v>
      </c>
      <c r="C104" s="16">
        <v>46118</v>
      </c>
      <c r="D104" s="18">
        <f ca="1">SUMIFS(FATURAMENTO!$H$8:$H$1048576,FATURAMENTO!$M$8:$M$1048576,DIARIO!D$8,FATURAMENTO!$I$8:$I$1048576,DIARIO!C104)</f>
        <v>11876.08</v>
      </c>
      <c r="E104" s="18">
        <f ca="1">SUMIFS(FATURAMENTO!$H$8:$H$1048576,FATURAMENTO!$M$8:$M$1048576,DIARIO!E$8,FATURAMENTO!$I$8:$I$1048576,C104)</f>
        <v>0</v>
      </c>
    </row>
    <row r="105" spans="2:5">
      <c r="B105" s="22" t="str">
        <f t="shared" si="1"/>
        <v>terça-feira</v>
      </c>
      <c r="C105" s="16">
        <v>46119</v>
      </c>
      <c r="D105" s="18">
        <f ca="1">SUMIFS(FATURAMENTO!$H$8:$H$1048576,FATURAMENTO!$M$8:$M$1048576,DIARIO!D$8,FATURAMENTO!$I$8:$I$1048576,DIARIO!C105)</f>
        <v>85928.73</v>
      </c>
      <c r="E105" s="18">
        <f ca="1">SUMIFS(FATURAMENTO!$H$8:$H$1048576,FATURAMENTO!$M$8:$M$1048576,DIARIO!E$8,FATURAMENTO!$I$8:$I$1048576,C105)</f>
        <v>0</v>
      </c>
    </row>
    <row r="106" spans="2:5">
      <c r="B106" s="22" t="str">
        <f t="shared" si="1"/>
        <v>quarta-feira</v>
      </c>
      <c r="C106" s="16">
        <v>46120</v>
      </c>
      <c r="D106" s="18">
        <f ca="1">SUMIFS(FATURAMENTO!$H$8:$H$1048576,FATURAMENTO!$M$8:$M$1048576,DIARIO!D$8,FATURAMENTO!$I$8:$I$1048576,DIARIO!C106)</f>
        <v>17203.53</v>
      </c>
      <c r="E106" s="18">
        <f ca="1">SUMIFS(FATURAMENTO!$H$8:$H$1048576,FATURAMENTO!$M$8:$M$1048576,DIARIO!E$8,FATURAMENTO!$I$8:$I$1048576,C106)</f>
        <v>0</v>
      </c>
    </row>
    <row r="107" spans="2:5">
      <c r="B107" s="22" t="str">
        <f t="shared" si="1"/>
        <v>quinta-feira</v>
      </c>
      <c r="C107" s="16">
        <v>46121</v>
      </c>
      <c r="D107" s="18">
        <f ca="1">SUMIFS(FATURAMENTO!$H$8:$H$1048576,FATURAMENTO!$M$8:$M$1048576,DIARIO!D$8,FATURAMENTO!$I$8:$I$1048576,DIARIO!C107)</f>
        <v>29380.560000000001</v>
      </c>
      <c r="E107" s="18">
        <f ca="1">SUMIFS(FATURAMENTO!$H$8:$H$1048576,FATURAMENTO!$M$8:$M$1048576,DIARIO!E$8,FATURAMENTO!$I$8:$I$1048576,C107)</f>
        <v>0</v>
      </c>
    </row>
    <row r="108" spans="2:5">
      <c r="B108" s="22" t="str">
        <f t="shared" si="1"/>
        <v>sexta-feira</v>
      </c>
      <c r="C108" s="16">
        <v>46122</v>
      </c>
      <c r="D108" s="18">
        <f ca="1">SUMIFS(FATURAMENTO!$H$8:$H$1048576,FATURAMENTO!$M$8:$M$1048576,DIARIO!D$8,FATURAMENTO!$I$8:$I$1048576,DIARIO!C108)</f>
        <v>173027.15</v>
      </c>
      <c r="E108" s="18">
        <f ca="1">SUMIFS(FATURAMENTO!$H$8:$H$1048576,FATURAMENTO!$M$8:$M$1048576,DIARIO!E$8,FATURAMENTO!$I$8:$I$1048576,C108)</f>
        <v>0</v>
      </c>
    </row>
    <row r="109" spans="2:5">
      <c r="B109" s="22" t="str">
        <f t="shared" si="1"/>
        <v>sábado</v>
      </c>
      <c r="C109" s="16">
        <v>46123</v>
      </c>
      <c r="D109" s="18">
        <f ca="1">SUMIFS(FATURAMENTO!$H$8:$H$1048576,FATURAMENTO!$M$8:$M$1048576,DIARIO!D$8,FATURAMENTO!$I$8:$I$1048576,DIARIO!C109)</f>
        <v>198234.29</v>
      </c>
      <c r="E109" s="18">
        <f ca="1">SUMIFS(FATURAMENTO!$H$8:$H$1048576,FATURAMENTO!$M$8:$M$1048576,DIARIO!E$8,FATURAMENTO!$I$8:$I$1048576,C109)</f>
        <v>0</v>
      </c>
    </row>
    <row r="110" spans="2:5">
      <c r="B110" s="22" t="str">
        <f t="shared" si="1"/>
        <v>domingo</v>
      </c>
      <c r="C110" s="16">
        <v>46124</v>
      </c>
      <c r="D110" s="18">
        <f ca="1">SUMIFS(FATURAMENTO!$H$8:$H$1048576,FATURAMENTO!$M$8:$M$1048576,DIARIO!D$8,FATURAMENTO!$I$8:$I$1048576,DIARIO!C110)</f>
        <v>14893</v>
      </c>
      <c r="E110" s="18">
        <f ca="1">SUMIFS(FATURAMENTO!$H$8:$H$1048576,FATURAMENTO!$M$8:$M$1048576,DIARIO!E$8,FATURAMENTO!$I$8:$I$1048576,C110)</f>
        <v>0</v>
      </c>
    </row>
    <row r="111" spans="2:5">
      <c r="B111" s="22" t="str">
        <f t="shared" si="1"/>
        <v>segunda-feira</v>
      </c>
      <c r="C111" s="16">
        <v>46125</v>
      </c>
      <c r="D111" s="18">
        <f ca="1">SUMIFS(FATURAMENTO!$H$8:$H$1048576,FATURAMENTO!$M$8:$M$1048576,DIARIO!D$8,FATURAMENTO!$I$8:$I$1048576,DIARIO!C111)</f>
        <v>44149.75</v>
      </c>
      <c r="E111" s="18">
        <f ca="1">SUMIFS(FATURAMENTO!$H$8:$H$1048576,FATURAMENTO!$M$8:$M$1048576,DIARIO!E$8,FATURAMENTO!$I$8:$I$1048576,C111)</f>
        <v>0</v>
      </c>
    </row>
    <row r="112" spans="2:5">
      <c r="B112" s="22" t="str">
        <f t="shared" si="1"/>
        <v>terça-feira</v>
      </c>
      <c r="C112" s="16">
        <v>46126</v>
      </c>
      <c r="D112" s="18">
        <f ca="1">SUMIFS(FATURAMENTO!$H$8:$H$1048576,FATURAMENTO!$M$8:$M$1048576,DIARIO!D$8,FATURAMENTO!$I$8:$I$1048576,DIARIO!C112)</f>
        <v>219734.43999999997</v>
      </c>
      <c r="E112" s="18">
        <f ca="1">SUMIFS(FATURAMENTO!$H$8:$H$1048576,FATURAMENTO!$M$8:$M$1048576,DIARIO!E$8,FATURAMENTO!$I$8:$I$1048576,C112)</f>
        <v>0</v>
      </c>
    </row>
    <row r="113" spans="2:5">
      <c r="B113" s="22" t="str">
        <f t="shared" si="1"/>
        <v>quarta-feira</v>
      </c>
      <c r="C113" s="16">
        <v>46127</v>
      </c>
      <c r="D113" s="18">
        <f ca="1">SUMIFS(FATURAMENTO!$H$8:$H$1048576,FATURAMENTO!$M$8:$M$1048576,DIARIO!D$8,FATURAMENTO!$I$8:$I$1048576,DIARIO!C113)</f>
        <v>23471.82</v>
      </c>
      <c r="E113" s="18">
        <f ca="1">SUMIFS(FATURAMENTO!$H$8:$H$1048576,FATURAMENTO!$M$8:$M$1048576,DIARIO!E$8,FATURAMENTO!$I$8:$I$1048576,C113)</f>
        <v>0</v>
      </c>
    </row>
    <row r="114" spans="2:5">
      <c r="B114" s="22" t="str">
        <f t="shared" si="1"/>
        <v>quinta-feira</v>
      </c>
      <c r="C114" s="16">
        <v>46128</v>
      </c>
      <c r="D114" s="18">
        <f ca="1">SUMIFS(FATURAMENTO!$H$8:$H$1048576,FATURAMENTO!$M$8:$M$1048576,DIARIO!D$8,FATURAMENTO!$I$8:$I$1048576,DIARIO!C114)</f>
        <v>25983.429999999997</v>
      </c>
      <c r="E114" s="18">
        <f ca="1">SUMIFS(FATURAMENTO!$H$8:$H$1048576,FATURAMENTO!$M$8:$M$1048576,DIARIO!E$8,FATURAMENTO!$I$8:$I$1048576,C114)</f>
        <v>0</v>
      </c>
    </row>
    <row r="115" spans="2:5">
      <c r="B115" s="22" t="str">
        <f t="shared" si="1"/>
        <v>sexta-feira</v>
      </c>
      <c r="C115" s="16">
        <v>46129</v>
      </c>
      <c r="D115" s="18">
        <f ca="1">SUMIFS(FATURAMENTO!$H$8:$H$1048576,FATURAMENTO!$M$8:$M$1048576,DIARIO!D$8,FATURAMENTO!$I$8:$I$1048576,DIARIO!C115)</f>
        <v>8056</v>
      </c>
      <c r="E115" s="18">
        <f ca="1">SUMIFS(FATURAMENTO!$H$8:$H$1048576,FATURAMENTO!$M$8:$M$1048576,DIARIO!E$8,FATURAMENTO!$I$8:$I$1048576,C115)</f>
        <v>0</v>
      </c>
    </row>
    <row r="116" spans="2:5">
      <c r="B116" s="22" t="str">
        <f t="shared" si="1"/>
        <v>sábado</v>
      </c>
      <c r="C116" s="16">
        <v>46130</v>
      </c>
      <c r="D116" s="18">
        <f ca="1">SUMIFS(FATURAMENTO!$H$8:$H$1048576,FATURAMENTO!$M$8:$M$1048576,DIARIO!D$8,FATURAMENTO!$I$8:$I$1048576,DIARIO!C116)</f>
        <v>0</v>
      </c>
      <c r="E116" s="18">
        <f ca="1">SUMIFS(FATURAMENTO!$H$8:$H$1048576,FATURAMENTO!$M$8:$M$1048576,DIARIO!E$8,FATURAMENTO!$I$8:$I$1048576,C116)</f>
        <v>0</v>
      </c>
    </row>
    <row r="117" spans="2:5">
      <c r="B117" s="22" t="str">
        <f t="shared" si="1"/>
        <v>domingo</v>
      </c>
      <c r="C117" s="16">
        <v>46131</v>
      </c>
      <c r="D117" s="18">
        <f ca="1">SUMIFS(FATURAMENTO!$H$8:$H$1048576,FATURAMENTO!$M$8:$M$1048576,DIARIO!D$8,FATURAMENTO!$I$8:$I$1048576,DIARIO!C117)</f>
        <v>23461.66</v>
      </c>
      <c r="E117" s="18">
        <f ca="1">SUMIFS(FATURAMENTO!$H$8:$H$1048576,FATURAMENTO!$M$8:$M$1048576,DIARIO!E$8,FATURAMENTO!$I$8:$I$1048576,C117)</f>
        <v>0</v>
      </c>
    </row>
    <row r="118" spans="2:5">
      <c r="B118" s="22" t="str">
        <f t="shared" si="1"/>
        <v>segunda-feira</v>
      </c>
      <c r="C118" s="16">
        <v>46132</v>
      </c>
      <c r="D118" s="18">
        <f ca="1">SUMIFS(FATURAMENTO!$H$8:$H$1048576,FATURAMENTO!$M$8:$M$1048576,DIARIO!D$8,FATURAMENTO!$I$8:$I$1048576,DIARIO!C118)</f>
        <v>5699.33</v>
      </c>
      <c r="E118" s="18">
        <f ca="1">SUMIFS(FATURAMENTO!$H$8:$H$1048576,FATURAMENTO!$M$8:$M$1048576,DIARIO!E$8,FATURAMENTO!$I$8:$I$1048576,C118)</f>
        <v>0</v>
      </c>
    </row>
    <row r="119" spans="2:5">
      <c r="B119" s="22" t="str">
        <f t="shared" si="1"/>
        <v>terça-feira</v>
      </c>
      <c r="C119" s="16">
        <v>46133</v>
      </c>
      <c r="D119" s="18">
        <f ca="1">SUMIFS(FATURAMENTO!$H$8:$H$1048576,FATURAMENTO!$M$8:$M$1048576,DIARIO!D$8,FATURAMENTO!$I$8:$I$1048576,DIARIO!C119)</f>
        <v>58481.549999999996</v>
      </c>
      <c r="E119" s="18">
        <f ca="1">SUMIFS(FATURAMENTO!$H$8:$H$1048576,FATURAMENTO!$M$8:$M$1048576,DIARIO!E$8,FATURAMENTO!$I$8:$I$1048576,C119)</f>
        <v>0</v>
      </c>
    </row>
    <row r="120" spans="2:5">
      <c r="B120" s="22" t="str">
        <f t="shared" si="1"/>
        <v>quarta-feira</v>
      </c>
      <c r="C120" s="16">
        <v>46134</v>
      </c>
      <c r="D120" s="18">
        <f ca="1">SUMIFS(FATURAMENTO!$H$8:$H$1048576,FATURAMENTO!$M$8:$M$1048576,DIARIO!D$8,FATURAMENTO!$I$8:$I$1048576,DIARIO!C120)</f>
        <v>9525.99</v>
      </c>
      <c r="E120" s="18">
        <f ca="1">SUMIFS(FATURAMENTO!$H$8:$H$1048576,FATURAMENTO!$M$8:$M$1048576,DIARIO!E$8,FATURAMENTO!$I$8:$I$1048576,C120)</f>
        <v>0</v>
      </c>
    </row>
    <row r="121" spans="2:5">
      <c r="B121" s="22" t="str">
        <f t="shared" si="1"/>
        <v>quinta-feira</v>
      </c>
      <c r="C121" s="16">
        <v>46135</v>
      </c>
      <c r="D121" s="18">
        <f ca="1">SUMIFS(FATURAMENTO!$H$8:$H$1048576,FATURAMENTO!$M$8:$M$1048576,DIARIO!D$8,FATURAMENTO!$I$8:$I$1048576,DIARIO!C121)</f>
        <v>13634.43</v>
      </c>
      <c r="E121" s="18">
        <f ca="1">SUMIFS(FATURAMENTO!$H$8:$H$1048576,FATURAMENTO!$M$8:$M$1048576,DIARIO!E$8,FATURAMENTO!$I$8:$I$1048576,C121)</f>
        <v>0</v>
      </c>
    </row>
    <row r="122" spans="2:5">
      <c r="B122" s="22" t="str">
        <f t="shared" si="1"/>
        <v>sexta-feira</v>
      </c>
      <c r="C122" s="16">
        <v>46136</v>
      </c>
      <c r="D122" s="18">
        <f ca="1">SUMIFS(FATURAMENTO!$H$8:$H$1048576,FATURAMENTO!$M$8:$M$1048576,DIARIO!D$8,FATURAMENTO!$I$8:$I$1048576,DIARIO!C122)</f>
        <v>8056</v>
      </c>
      <c r="E122" s="18">
        <f ca="1">SUMIFS(FATURAMENTO!$H$8:$H$1048576,FATURAMENTO!$M$8:$M$1048576,DIARIO!E$8,FATURAMENTO!$I$8:$I$1048576,C122)</f>
        <v>0</v>
      </c>
    </row>
    <row r="123" spans="2:5">
      <c r="B123" s="22" t="str">
        <f t="shared" si="1"/>
        <v>sábado</v>
      </c>
      <c r="C123" s="16">
        <v>46137</v>
      </c>
      <c r="D123" s="18">
        <f ca="1">SUMIFS(FATURAMENTO!$H$8:$H$1048576,FATURAMENTO!$M$8:$M$1048576,DIARIO!D$8,FATURAMENTO!$I$8:$I$1048576,DIARIO!C123)</f>
        <v>14615</v>
      </c>
      <c r="E123" s="18">
        <f ca="1">SUMIFS(FATURAMENTO!$H$8:$H$1048576,FATURAMENTO!$M$8:$M$1048576,DIARIO!E$8,FATURAMENTO!$I$8:$I$1048576,C123)</f>
        <v>0</v>
      </c>
    </row>
    <row r="124" spans="2:5">
      <c r="B124" s="22" t="str">
        <f t="shared" si="1"/>
        <v>domingo</v>
      </c>
      <c r="C124" s="16">
        <v>46138</v>
      </c>
      <c r="D124" s="18">
        <f ca="1">SUMIFS(FATURAMENTO!$H$8:$H$1048576,FATURAMENTO!$M$8:$M$1048576,DIARIO!D$8,FATURAMENTO!$I$8:$I$1048576,DIARIO!C124)</f>
        <v>12553.33</v>
      </c>
      <c r="E124" s="18">
        <f ca="1">SUMIFS(FATURAMENTO!$H$8:$H$1048576,FATURAMENTO!$M$8:$M$1048576,DIARIO!E$8,FATURAMENTO!$I$8:$I$1048576,C124)</f>
        <v>0</v>
      </c>
    </row>
    <row r="125" spans="2:5">
      <c r="B125" s="22" t="str">
        <f t="shared" si="1"/>
        <v>segunda-feira</v>
      </c>
      <c r="C125" s="16">
        <v>46139</v>
      </c>
      <c r="D125" s="18">
        <f ca="1">SUMIFS(FATURAMENTO!$H$8:$H$1048576,FATURAMENTO!$M$8:$M$1048576,DIARIO!D$8,FATURAMENTO!$I$8:$I$1048576,DIARIO!C125)</f>
        <v>3116</v>
      </c>
      <c r="E125" s="18">
        <f ca="1">SUMIFS(FATURAMENTO!$H$8:$H$1048576,FATURAMENTO!$M$8:$M$1048576,DIARIO!E$8,FATURAMENTO!$I$8:$I$1048576,C125)</f>
        <v>0</v>
      </c>
    </row>
    <row r="126" spans="2:5">
      <c r="B126" s="22" t="str">
        <f t="shared" si="1"/>
        <v>terça-feira</v>
      </c>
      <c r="C126" s="16">
        <v>46140</v>
      </c>
      <c r="D126" s="18">
        <f ca="1">SUMIFS(FATURAMENTO!$H$8:$H$1048576,FATURAMENTO!$M$8:$M$1048576,DIARIO!D$8,FATURAMENTO!$I$8:$I$1048576,DIARIO!C126)</f>
        <v>102093.94</v>
      </c>
      <c r="E126" s="18">
        <f ca="1">SUMIFS(FATURAMENTO!$H$8:$H$1048576,FATURAMENTO!$M$8:$M$1048576,DIARIO!E$8,FATURAMENTO!$I$8:$I$1048576,C126)</f>
        <v>0</v>
      </c>
    </row>
    <row r="127" spans="2:5">
      <c r="B127" s="22" t="str">
        <f t="shared" si="1"/>
        <v>quarta-feira</v>
      </c>
      <c r="C127" s="16">
        <v>46141</v>
      </c>
      <c r="D127" s="18">
        <f ca="1">SUMIFS(FATURAMENTO!$H$8:$H$1048576,FATURAMENTO!$M$8:$M$1048576,DIARIO!D$8,FATURAMENTO!$I$8:$I$1048576,DIARIO!C127)</f>
        <v>0</v>
      </c>
      <c r="E127" s="18">
        <f ca="1">SUMIFS(FATURAMENTO!$H$8:$H$1048576,FATURAMENTO!$M$8:$M$1048576,DIARIO!E$8,FATURAMENTO!$I$8:$I$1048576,C127)</f>
        <v>0</v>
      </c>
    </row>
    <row r="128" spans="2:5">
      <c r="B128" s="22" t="str">
        <f t="shared" si="1"/>
        <v>quinta-feira</v>
      </c>
      <c r="C128" s="16">
        <v>46142</v>
      </c>
      <c r="D128" s="18">
        <f ca="1">SUMIFS(FATURAMENTO!$H$8:$H$1048576,FATURAMENTO!$M$8:$M$1048576,DIARIO!D$8,FATURAMENTO!$I$8:$I$1048576,DIARIO!C128)</f>
        <v>19846.849999999999</v>
      </c>
      <c r="E128" s="18">
        <f ca="1">SUMIFS(FATURAMENTO!$H$8:$H$1048576,FATURAMENTO!$M$8:$M$1048576,DIARIO!E$8,FATURAMENTO!$I$8:$I$1048576,C128)</f>
        <v>0</v>
      </c>
    </row>
    <row r="129" spans="2:5">
      <c r="B129" s="22" t="str">
        <f t="shared" si="1"/>
        <v>sexta-feira</v>
      </c>
      <c r="C129" s="16">
        <v>46143</v>
      </c>
      <c r="D129" s="18">
        <f ca="1">SUMIFS(FATURAMENTO!$H$8:$H$1048576,FATURAMENTO!$M$8:$M$1048576,DIARIO!D$8,FATURAMENTO!$I$8:$I$1048576,DIARIO!C129)</f>
        <v>0</v>
      </c>
      <c r="E129" s="18">
        <f ca="1">SUMIFS(FATURAMENTO!$H$8:$H$1048576,FATURAMENTO!$M$8:$M$1048576,DIARIO!E$8,FATURAMENTO!$I$8:$I$1048576,C129)</f>
        <v>0</v>
      </c>
    </row>
    <row r="130" spans="2:5">
      <c r="B130" s="22" t="str">
        <f t="shared" si="1"/>
        <v>sábado</v>
      </c>
      <c r="C130" s="16">
        <v>46144</v>
      </c>
      <c r="D130" s="18">
        <f ca="1">SUMIFS(FATURAMENTO!$H$8:$H$1048576,FATURAMENTO!$M$8:$M$1048576,DIARIO!D$8,FATURAMENTO!$I$8:$I$1048576,DIARIO!C130)</f>
        <v>13500</v>
      </c>
      <c r="E130" s="18">
        <f ca="1">SUMIFS(FATURAMENTO!$H$8:$H$1048576,FATURAMENTO!$M$8:$M$1048576,DIARIO!E$8,FATURAMENTO!$I$8:$I$1048576,C130)</f>
        <v>0</v>
      </c>
    </row>
    <row r="131" spans="2:5">
      <c r="B131" s="22" t="str">
        <f t="shared" si="1"/>
        <v>domingo</v>
      </c>
      <c r="C131" s="16">
        <v>46145</v>
      </c>
      <c r="D131" s="18">
        <f ca="1">SUMIFS(FATURAMENTO!$H$8:$H$1048576,FATURAMENTO!$M$8:$M$1048576,DIARIO!D$8,FATURAMENTO!$I$8:$I$1048576,DIARIO!C131)</f>
        <v>0</v>
      </c>
      <c r="E131" s="18">
        <f ca="1">SUMIFS(FATURAMENTO!$H$8:$H$1048576,FATURAMENTO!$M$8:$M$1048576,DIARIO!E$8,FATURAMENTO!$I$8:$I$1048576,C131)</f>
        <v>0</v>
      </c>
    </row>
    <row r="132" spans="2:5">
      <c r="B132" s="22" t="str">
        <f t="shared" si="1"/>
        <v>segunda-feira</v>
      </c>
      <c r="C132" s="16">
        <v>46146</v>
      </c>
      <c r="D132" s="18">
        <f ca="1">SUMIFS(FATURAMENTO!$H$8:$H$1048576,FATURAMENTO!$M$8:$M$1048576,DIARIO!D$8,FATURAMENTO!$I$8:$I$1048576,DIARIO!C132)</f>
        <v>17327.66</v>
      </c>
      <c r="E132" s="18">
        <f ca="1">SUMIFS(FATURAMENTO!$H$8:$H$1048576,FATURAMENTO!$M$8:$M$1048576,DIARIO!E$8,FATURAMENTO!$I$8:$I$1048576,C132)</f>
        <v>0</v>
      </c>
    </row>
    <row r="133" spans="2:5">
      <c r="B133" s="22" t="str">
        <f t="shared" si="1"/>
        <v>terça-feira</v>
      </c>
      <c r="C133" s="16">
        <v>46147</v>
      </c>
      <c r="D133" s="18">
        <f ca="1">SUMIFS(FATURAMENTO!$H$8:$H$1048576,FATURAMENTO!$M$8:$M$1048576,DIARIO!D$8,FATURAMENTO!$I$8:$I$1048576,DIARIO!C133)</f>
        <v>46336.46</v>
      </c>
      <c r="E133" s="18">
        <f ca="1">SUMIFS(FATURAMENTO!$H$8:$H$1048576,FATURAMENTO!$M$8:$M$1048576,DIARIO!E$8,FATURAMENTO!$I$8:$I$1048576,C133)</f>
        <v>0</v>
      </c>
    </row>
    <row r="134" spans="2:5">
      <c r="B134" s="22" t="str">
        <f t="shared" si="1"/>
        <v>quarta-feira</v>
      </c>
      <c r="C134" s="16">
        <v>46148</v>
      </c>
      <c r="D134" s="18">
        <f ca="1">SUMIFS(FATURAMENTO!$H$8:$H$1048576,FATURAMENTO!$M$8:$M$1048576,DIARIO!D$8,FATURAMENTO!$I$8:$I$1048576,DIARIO!C134)</f>
        <v>0</v>
      </c>
      <c r="E134" s="18">
        <f ca="1">SUMIFS(FATURAMENTO!$H$8:$H$1048576,FATURAMENTO!$M$8:$M$1048576,DIARIO!E$8,FATURAMENTO!$I$8:$I$1048576,C134)</f>
        <v>0</v>
      </c>
    </row>
    <row r="135" spans="2:5">
      <c r="B135" s="22" t="str">
        <f t="shared" si="1"/>
        <v>quinta-feira</v>
      </c>
      <c r="C135" s="16">
        <v>46149</v>
      </c>
      <c r="D135" s="18">
        <f ca="1">SUMIFS(FATURAMENTO!$H$8:$H$1048576,FATURAMENTO!$M$8:$M$1048576,DIARIO!D$8,FATURAMENTO!$I$8:$I$1048576,DIARIO!C135)</f>
        <v>27031.539999999997</v>
      </c>
      <c r="E135" s="18">
        <f ca="1">SUMIFS(FATURAMENTO!$H$8:$H$1048576,FATURAMENTO!$M$8:$M$1048576,DIARIO!E$8,FATURAMENTO!$I$8:$I$1048576,C135)</f>
        <v>0</v>
      </c>
    </row>
    <row r="136" spans="2:5">
      <c r="B136" s="22" t="str">
        <f t="shared" si="1"/>
        <v>sexta-feira</v>
      </c>
      <c r="C136" s="16">
        <v>46150</v>
      </c>
      <c r="D136" s="18">
        <f ca="1">SUMIFS(FATURAMENTO!$H$8:$H$1048576,FATURAMENTO!$M$8:$M$1048576,DIARIO!D$8,FATURAMENTO!$I$8:$I$1048576,DIARIO!C136)</f>
        <v>0</v>
      </c>
      <c r="E136" s="18">
        <f ca="1">SUMIFS(FATURAMENTO!$H$8:$H$1048576,FATURAMENTO!$M$8:$M$1048576,DIARIO!E$8,FATURAMENTO!$I$8:$I$1048576,C136)</f>
        <v>0</v>
      </c>
    </row>
    <row r="137" spans="2:5">
      <c r="B137" s="22" t="str">
        <f t="shared" ref="B137:B200" si="2">TEXT(C137,"dddd")</f>
        <v>sábado</v>
      </c>
      <c r="C137" s="16">
        <v>46151</v>
      </c>
      <c r="D137" s="18">
        <f ca="1">SUMIFS(FATURAMENTO!$H$8:$H$1048576,FATURAMENTO!$M$8:$M$1048576,DIARIO!D$8,FATURAMENTO!$I$8:$I$1048576,DIARIO!C137)</f>
        <v>0</v>
      </c>
      <c r="E137" s="18">
        <f ca="1">SUMIFS(FATURAMENTO!$H$8:$H$1048576,FATURAMENTO!$M$8:$M$1048576,DIARIO!E$8,FATURAMENTO!$I$8:$I$1048576,C137)</f>
        <v>0</v>
      </c>
    </row>
    <row r="138" spans="2:5">
      <c r="B138" s="22" t="str">
        <f t="shared" si="2"/>
        <v>domingo</v>
      </c>
      <c r="C138" s="16">
        <v>46152</v>
      </c>
      <c r="D138" s="18">
        <f ca="1">SUMIFS(FATURAMENTO!$H$8:$H$1048576,FATURAMENTO!$M$8:$M$1048576,DIARIO!D$8,FATURAMENTO!$I$8:$I$1048576,DIARIO!C138)</f>
        <v>25649.34</v>
      </c>
      <c r="E138" s="18">
        <f ca="1">SUMIFS(FATURAMENTO!$H$8:$H$1048576,FATURAMENTO!$M$8:$M$1048576,DIARIO!E$8,FATURAMENTO!$I$8:$I$1048576,C138)</f>
        <v>0</v>
      </c>
    </row>
    <row r="139" spans="2:5">
      <c r="B139" s="22" t="str">
        <f t="shared" si="2"/>
        <v>segunda-feira</v>
      </c>
      <c r="C139" s="16">
        <v>46153</v>
      </c>
      <c r="D139" s="18">
        <f ca="1">SUMIFS(FATURAMENTO!$H$8:$H$1048576,FATURAMENTO!$M$8:$M$1048576,DIARIO!D$8,FATURAMENTO!$I$8:$I$1048576,DIARIO!C139)</f>
        <v>3116</v>
      </c>
      <c r="E139" s="18">
        <f ca="1">SUMIFS(FATURAMENTO!$H$8:$H$1048576,FATURAMENTO!$M$8:$M$1048576,DIARIO!E$8,FATURAMENTO!$I$8:$I$1048576,C139)</f>
        <v>0</v>
      </c>
    </row>
    <row r="140" spans="2:5">
      <c r="B140" s="22" t="str">
        <f t="shared" si="2"/>
        <v>terça-feira</v>
      </c>
      <c r="C140" s="16">
        <v>46154</v>
      </c>
      <c r="D140" s="18">
        <f ca="1">SUMIFS(FATURAMENTO!$H$8:$H$1048576,FATURAMENTO!$M$8:$M$1048576,DIARIO!D$8,FATURAMENTO!$I$8:$I$1048576,DIARIO!C140)</f>
        <v>44279.44</v>
      </c>
      <c r="E140" s="18">
        <f ca="1">SUMIFS(FATURAMENTO!$H$8:$H$1048576,FATURAMENTO!$M$8:$M$1048576,DIARIO!E$8,FATURAMENTO!$I$8:$I$1048576,C140)</f>
        <v>0</v>
      </c>
    </row>
    <row r="141" spans="2:5">
      <c r="B141" s="22" t="str">
        <f t="shared" si="2"/>
        <v>quarta-feira</v>
      </c>
      <c r="C141" s="16">
        <v>46155</v>
      </c>
      <c r="D141" s="18">
        <f ca="1">SUMIFS(FATURAMENTO!$H$8:$H$1048576,FATURAMENTO!$M$8:$M$1048576,DIARIO!D$8,FATURAMENTO!$I$8:$I$1048576,DIARIO!C141)</f>
        <v>11924</v>
      </c>
      <c r="E141" s="18">
        <f ca="1">SUMIFS(FATURAMENTO!$H$8:$H$1048576,FATURAMENTO!$M$8:$M$1048576,DIARIO!E$8,FATURAMENTO!$I$8:$I$1048576,C141)</f>
        <v>0</v>
      </c>
    </row>
    <row r="142" spans="2:5">
      <c r="B142" s="22" t="str">
        <f t="shared" si="2"/>
        <v>quinta-feira</v>
      </c>
      <c r="C142" s="16">
        <v>46156</v>
      </c>
      <c r="D142" s="18">
        <f ca="1">SUMIFS(FATURAMENTO!$H$8:$H$1048576,FATURAMENTO!$M$8:$M$1048576,DIARIO!D$8,FATURAMENTO!$I$8:$I$1048576,DIARIO!C142)</f>
        <v>0</v>
      </c>
      <c r="E142" s="18">
        <f ca="1">SUMIFS(FATURAMENTO!$H$8:$H$1048576,FATURAMENTO!$M$8:$M$1048576,DIARIO!E$8,FATURAMENTO!$I$8:$I$1048576,C142)</f>
        <v>0</v>
      </c>
    </row>
    <row r="143" spans="2:5">
      <c r="B143" s="22" t="str">
        <f t="shared" si="2"/>
        <v>sexta-feira</v>
      </c>
      <c r="C143" s="16">
        <v>46157</v>
      </c>
      <c r="D143" s="18">
        <f ca="1">SUMIFS(FATURAMENTO!$H$8:$H$1048576,FATURAMENTO!$M$8:$M$1048576,DIARIO!D$8,FATURAMENTO!$I$8:$I$1048576,DIARIO!C143)</f>
        <v>11080</v>
      </c>
      <c r="E143" s="18">
        <f ca="1">SUMIFS(FATURAMENTO!$H$8:$H$1048576,FATURAMENTO!$M$8:$M$1048576,DIARIO!E$8,FATURAMENTO!$I$8:$I$1048576,C143)</f>
        <v>0</v>
      </c>
    </row>
    <row r="144" spans="2:5">
      <c r="B144" s="22" t="str">
        <f t="shared" si="2"/>
        <v>sábado</v>
      </c>
      <c r="C144" s="16">
        <v>46158</v>
      </c>
      <c r="D144" s="18">
        <f ca="1">SUMIFS(FATURAMENTO!$H$8:$H$1048576,FATURAMENTO!$M$8:$M$1048576,DIARIO!D$8,FATURAMENTO!$I$8:$I$1048576,DIARIO!C144)</f>
        <v>0</v>
      </c>
      <c r="E144" s="18">
        <f ca="1">SUMIFS(FATURAMENTO!$H$8:$H$1048576,FATURAMENTO!$M$8:$M$1048576,DIARIO!E$8,FATURAMENTO!$I$8:$I$1048576,C144)</f>
        <v>0</v>
      </c>
    </row>
    <row r="145" spans="2:5">
      <c r="B145" s="22" t="str">
        <f t="shared" si="2"/>
        <v>domingo</v>
      </c>
      <c r="C145" s="16">
        <v>46159</v>
      </c>
      <c r="D145" s="18">
        <f ca="1">SUMIFS(FATURAMENTO!$H$8:$H$1048576,FATURAMENTO!$M$8:$M$1048576,DIARIO!D$8,FATURAMENTO!$I$8:$I$1048576,DIARIO!C145)</f>
        <v>0</v>
      </c>
      <c r="E145" s="18">
        <f ca="1">SUMIFS(FATURAMENTO!$H$8:$H$1048576,FATURAMENTO!$M$8:$M$1048576,DIARIO!E$8,FATURAMENTO!$I$8:$I$1048576,C145)</f>
        <v>0</v>
      </c>
    </row>
    <row r="146" spans="2:5">
      <c r="B146" s="22" t="str">
        <f t="shared" si="2"/>
        <v>segunda-feira</v>
      </c>
      <c r="C146" s="16">
        <v>46160</v>
      </c>
      <c r="D146" s="18">
        <f ca="1">SUMIFS(FATURAMENTO!$H$8:$H$1048576,FATURAMENTO!$M$8:$M$1048576,DIARIO!D$8,FATURAMENTO!$I$8:$I$1048576,DIARIO!C146)</f>
        <v>0</v>
      </c>
      <c r="E146" s="18">
        <f ca="1">SUMIFS(FATURAMENTO!$H$8:$H$1048576,FATURAMENTO!$M$8:$M$1048576,DIARIO!E$8,FATURAMENTO!$I$8:$I$1048576,C146)</f>
        <v>0</v>
      </c>
    </row>
    <row r="147" spans="2:5">
      <c r="B147" s="22" t="str">
        <f t="shared" si="2"/>
        <v>terça-feira</v>
      </c>
      <c r="C147" s="16">
        <v>46161</v>
      </c>
      <c r="D147" s="18">
        <f ca="1">SUMIFS(FATURAMENTO!$H$8:$H$1048576,FATURAMENTO!$M$8:$M$1048576,DIARIO!D$8,FATURAMENTO!$I$8:$I$1048576,DIARIO!C147)</f>
        <v>0</v>
      </c>
      <c r="E147" s="18">
        <f ca="1">SUMIFS(FATURAMENTO!$H$8:$H$1048576,FATURAMENTO!$M$8:$M$1048576,DIARIO!E$8,FATURAMENTO!$I$8:$I$1048576,C147)</f>
        <v>0</v>
      </c>
    </row>
    <row r="148" spans="2:5">
      <c r="B148" s="22" t="str">
        <f t="shared" si="2"/>
        <v>quarta-feira</v>
      </c>
      <c r="C148" s="16">
        <v>46162</v>
      </c>
      <c r="D148" s="18">
        <f ca="1">SUMIFS(FATURAMENTO!$H$8:$H$1048576,FATURAMENTO!$M$8:$M$1048576,DIARIO!D$8,FATURAMENTO!$I$8:$I$1048576,DIARIO!C148)</f>
        <v>0</v>
      </c>
      <c r="E148" s="18">
        <f ca="1">SUMIFS(FATURAMENTO!$H$8:$H$1048576,FATURAMENTO!$M$8:$M$1048576,DIARIO!E$8,FATURAMENTO!$I$8:$I$1048576,C148)</f>
        <v>0</v>
      </c>
    </row>
    <row r="149" spans="2:5">
      <c r="B149" s="22" t="str">
        <f t="shared" si="2"/>
        <v>quinta-feira</v>
      </c>
      <c r="C149" s="16">
        <v>46163</v>
      </c>
      <c r="D149" s="18">
        <f ca="1">SUMIFS(FATURAMENTO!$H$8:$H$1048576,FATURAMENTO!$M$8:$M$1048576,DIARIO!D$8,FATURAMENTO!$I$8:$I$1048576,DIARIO!C149)</f>
        <v>0</v>
      </c>
      <c r="E149" s="18">
        <f ca="1">SUMIFS(FATURAMENTO!$H$8:$H$1048576,FATURAMENTO!$M$8:$M$1048576,DIARIO!E$8,FATURAMENTO!$I$8:$I$1048576,C149)</f>
        <v>0</v>
      </c>
    </row>
    <row r="150" spans="2:5">
      <c r="B150" s="22" t="str">
        <f t="shared" si="2"/>
        <v>sexta-feira</v>
      </c>
      <c r="C150" s="16">
        <v>46164</v>
      </c>
      <c r="D150" s="18">
        <f ca="1">SUMIFS(FATURAMENTO!$H$8:$H$1048576,FATURAMENTO!$M$8:$M$1048576,DIARIO!D$8,FATURAMENTO!$I$8:$I$1048576,DIARIO!C150)</f>
        <v>0</v>
      </c>
      <c r="E150" s="18">
        <f ca="1">SUMIFS(FATURAMENTO!$H$8:$H$1048576,FATURAMENTO!$M$8:$M$1048576,DIARIO!E$8,FATURAMENTO!$I$8:$I$1048576,C150)</f>
        <v>0</v>
      </c>
    </row>
    <row r="151" spans="2:5">
      <c r="B151" s="22" t="str">
        <f t="shared" si="2"/>
        <v>sábado</v>
      </c>
      <c r="C151" s="16">
        <v>46165</v>
      </c>
      <c r="D151" s="18">
        <f ca="1">SUMIFS(FATURAMENTO!$H$8:$H$1048576,FATURAMENTO!$M$8:$M$1048576,DIARIO!D$8,FATURAMENTO!$I$8:$I$1048576,DIARIO!C151)</f>
        <v>0</v>
      </c>
      <c r="E151" s="18">
        <f ca="1">SUMIFS(FATURAMENTO!$H$8:$H$1048576,FATURAMENTO!$M$8:$M$1048576,DIARIO!E$8,FATURAMENTO!$I$8:$I$1048576,C151)</f>
        <v>0</v>
      </c>
    </row>
    <row r="152" spans="2:5">
      <c r="B152" s="22" t="str">
        <f t="shared" si="2"/>
        <v>domingo</v>
      </c>
      <c r="C152" s="16">
        <v>46166</v>
      </c>
      <c r="D152" s="18">
        <f ca="1">SUMIFS(FATURAMENTO!$H$8:$H$1048576,FATURAMENTO!$M$8:$M$1048576,DIARIO!D$8,FATURAMENTO!$I$8:$I$1048576,DIARIO!C152)</f>
        <v>0</v>
      </c>
      <c r="E152" s="18">
        <f ca="1">SUMIFS(FATURAMENTO!$H$8:$H$1048576,FATURAMENTO!$M$8:$M$1048576,DIARIO!E$8,FATURAMENTO!$I$8:$I$1048576,C152)</f>
        <v>0</v>
      </c>
    </row>
    <row r="153" spans="2:5">
      <c r="B153" s="22" t="str">
        <f t="shared" si="2"/>
        <v>segunda-feira</v>
      </c>
      <c r="C153" s="16">
        <v>46167</v>
      </c>
      <c r="D153" s="18">
        <f ca="1">SUMIFS(FATURAMENTO!$H$8:$H$1048576,FATURAMENTO!$M$8:$M$1048576,DIARIO!D$8,FATURAMENTO!$I$8:$I$1048576,DIARIO!C153)</f>
        <v>0</v>
      </c>
      <c r="E153" s="18">
        <f ca="1">SUMIFS(FATURAMENTO!$H$8:$H$1048576,FATURAMENTO!$M$8:$M$1048576,DIARIO!E$8,FATURAMENTO!$I$8:$I$1048576,C153)</f>
        <v>0</v>
      </c>
    </row>
    <row r="154" spans="2:5">
      <c r="B154" s="22" t="str">
        <f t="shared" si="2"/>
        <v>terça-feira</v>
      </c>
      <c r="C154" s="16">
        <v>46168</v>
      </c>
      <c r="D154" s="18">
        <f ca="1">SUMIFS(FATURAMENTO!$H$8:$H$1048576,FATURAMENTO!$M$8:$M$1048576,DIARIO!D$8,FATURAMENTO!$I$8:$I$1048576,DIARIO!C154)</f>
        <v>12553.33</v>
      </c>
      <c r="E154" s="18">
        <f ca="1">SUMIFS(FATURAMENTO!$H$8:$H$1048576,FATURAMENTO!$M$8:$M$1048576,DIARIO!E$8,FATURAMENTO!$I$8:$I$1048576,C154)</f>
        <v>0</v>
      </c>
    </row>
    <row r="155" spans="2:5">
      <c r="B155" s="22" t="str">
        <f t="shared" si="2"/>
        <v>quarta-feira</v>
      </c>
      <c r="C155" s="16">
        <v>46169</v>
      </c>
      <c r="D155" s="18">
        <f ca="1">SUMIFS(FATURAMENTO!$H$8:$H$1048576,FATURAMENTO!$M$8:$M$1048576,DIARIO!D$8,FATURAMENTO!$I$8:$I$1048576,DIARIO!C155)</f>
        <v>0</v>
      </c>
      <c r="E155" s="18">
        <f ca="1">SUMIFS(FATURAMENTO!$H$8:$H$1048576,FATURAMENTO!$M$8:$M$1048576,DIARIO!E$8,FATURAMENTO!$I$8:$I$1048576,C155)</f>
        <v>0</v>
      </c>
    </row>
    <row r="156" spans="2:5">
      <c r="B156" s="22" t="str">
        <f t="shared" si="2"/>
        <v>quinta-feira</v>
      </c>
      <c r="C156" s="16">
        <v>46170</v>
      </c>
      <c r="D156" s="18">
        <f ca="1">SUMIFS(FATURAMENTO!$H$8:$H$1048576,FATURAMENTO!$M$8:$M$1048576,DIARIO!D$8,FATURAMENTO!$I$8:$I$1048576,DIARIO!C156)</f>
        <v>31956</v>
      </c>
      <c r="E156" s="18">
        <f ca="1">SUMIFS(FATURAMENTO!$H$8:$H$1048576,FATURAMENTO!$M$8:$M$1048576,DIARIO!E$8,FATURAMENTO!$I$8:$I$1048576,C156)</f>
        <v>0</v>
      </c>
    </row>
    <row r="157" spans="2:5">
      <c r="B157" s="22" t="str">
        <f t="shared" si="2"/>
        <v>sexta-feira</v>
      </c>
      <c r="C157" s="16">
        <v>46171</v>
      </c>
      <c r="D157" s="18">
        <f ca="1">SUMIFS(FATURAMENTO!$H$8:$H$1048576,FATURAMENTO!$M$8:$M$1048576,DIARIO!D$8,FATURAMENTO!$I$8:$I$1048576,DIARIO!C157)</f>
        <v>0</v>
      </c>
      <c r="E157" s="18">
        <f ca="1">SUMIFS(FATURAMENTO!$H$8:$H$1048576,FATURAMENTO!$M$8:$M$1048576,DIARIO!E$8,FATURAMENTO!$I$8:$I$1048576,C157)</f>
        <v>0</v>
      </c>
    </row>
    <row r="158" spans="2:5">
      <c r="B158" s="22" t="str">
        <f t="shared" si="2"/>
        <v>sábado</v>
      </c>
      <c r="C158" s="16">
        <v>46172</v>
      </c>
      <c r="D158" s="18">
        <f ca="1">SUMIFS(FATURAMENTO!$H$8:$H$1048576,FATURAMENTO!$M$8:$M$1048576,DIARIO!D$8,FATURAMENTO!$I$8:$I$1048576,DIARIO!C158)</f>
        <v>0</v>
      </c>
      <c r="E158" s="18">
        <f ca="1">SUMIFS(FATURAMENTO!$H$8:$H$1048576,FATURAMENTO!$M$8:$M$1048576,DIARIO!E$8,FATURAMENTO!$I$8:$I$1048576,C158)</f>
        <v>0</v>
      </c>
    </row>
    <row r="159" spans="2:5">
      <c r="B159" s="22" t="str">
        <f t="shared" si="2"/>
        <v>domingo</v>
      </c>
      <c r="C159" s="16">
        <v>46173</v>
      </c>
      <c r="D159" s="18">
        <f ca="1">SUMIFS(FATURAMENTO!$H$8:$H$1048576,FATURAMENTO!$M$8:$M$1048576,DIARIO!D$8,FATURAMENTO!$I$8:$I$1048576,DIARIO!C159)</f>
        <v>0</v>
      </c>
      <c r="E159" s="18">
        <f ca="1">SUMIFS(FATURAMENTO!$H$8:$H$1048576,FATURAMENTO!$M$8:$M$1048576,DIARIO!E$8,FATURAMENTO!$I$8:$I$1048576,C159)</f>
        <v>0</v>
      </c>
    </row>
    <row r="160" spans="2:5">
      <c r="B160" s="22" t="str">
        <f t="shared" si="2"/>
        <v>segunda-feira</v>
      </c>
      <c r="C160" s="16">
        <v>46174</v>
      </c>
      <c r="D160" s="18">
        <f ca="1">SUMIFS(FATURAMENTO!$H$8:$H$1048576,FATURAMENTO!$M$8:$M$1048576,DIARIO!D$8,FATURAMENTO!$I$8:$I$1048576,DIARIO!C160)</f>
        <v>0</v>
      </c>
      <c r="E160" s="18">
        <f ca="1">SUMIFS(FATURAMENTO!$H$8:$H$1048576,FATURAMENTO!$M$8:$M$1048576,DIARIO!E$8,FATURAMENTO!$I$8:$I$1048576,C160)</f>
        <v>0</v>
      </c>
    </row>
    <row r="161" spans="2:5">
      <c r="B161" s="22" t="str">
        <f t="shared" si="2"/>
        <v>terça-feira</v>
      </c>
      <c r="C161" s="16">
        <v>46175</v>
      </c>
      <c r="D161" s="18">
        <f ca="1">SUMIFS(FATURAMENTO!$H$8:$H$1048576,FATURAMENTO!$M$8:$M$1048576,DIARIO!D$8,FATURAMENTO!$I$8:$I$1048576,DIARIO!C161)</f>
        <v>0</v>
      </c>
      <c r="E161" s="18">
        <f ca="1">SUMIFS(FATURAMENTO!$H$8:$H$1048576,FATURAMENTO!$M$8:$M$1048576,DIARIO!E$8,FATURAMENTO!$I$8:$I$1048576,C161)</f>
        <v>0</v>
      </c>
    </row>
    <row r="162" spans="2:5">
      <c r="B162" s="22" t="str">
        <f t="shared" si="2"/>
        <v>quarta-feira</v>
      </c>
      <c r="C162" s="16">
        <v>46176</v>
      </c>
      <c r="D162" s="18">
        <f ca="1">SUMIFS(FATURAMENTO!$H$8:$H$1048576,FATURAMENTO!$M$8:$M$1048576,DIARIO!D$8,FATURAMENTO!$I$8:$I$1048576,DIARIO!C162)</f>
        <v>0</v>
      </c>
      <c r="E162" s="18">
        <f ca="1">SUMIFS(FATURAMENTO!$H$8:$H$1048576,FATURAMENTO!$M$8:$M$1048576,DIARIO!E$8,FATURAMENTO!$I$8:$I$1048576,C162)</f>
        <v>0</v>
      </c>
    </row>
    <row r="163" spans="2:5">
      <c r="B163" s="22" t="str">
        <f t="shared" si="2"/>
        <v>quinta-feira</v>
      </c>
      <c r="C163" s="16">
        <v>46177</v>
      </c>
      <c r="D163" s="18">
        <f ca="1">SUMIFS(FATURAMENTO!$H$8:$H$1048576,FATURAMENTO!$M$8:$M$1048576,DIARIO!D$8,FATURAMENTO!$I$8:$I$1048576,DIARIO!C163)</f>
        <v>0</v>
      </c>
      <c r="E163" s="18">
        <f ca="1">SUMIFS(FATURAMENTO!$H$8:$H$1048576,FATURAMENTO!$M$8:$M$1048576,DIARIO!E$8,FATURAMENTO!$I$8:$I$1048576,C163)</f>
        <v>0</v>
      </c>
    </row>
    <row r="164" spans="2:5">
      <c r="B164" s="22" t="str">
        <f t="shared" si="2"/>
        <v>sexta-feira</v>
      </c>
      <c r="C164" s="16">
        <v>46178</v>
      </c>
      <c r="D164" s="18">
        <f ca="1">SUMIFS(FATURAMENTO!$H$8:$H$1048576,FATURAMENTO!$M$8:$M$1048576,DIARIO!D$8,FATURAMENTO!$I$8:$I$1048576,DIARIO!C164)</f>
        <v>0</v>
      </c>
      <c r="E164" s="18">
        <f ca="1">SUMIFS(FATURAMENTO!$H$8:$H$1048576,FATURAMENTO!$M$8:$M$1048576,DIARIO!E$8,FATURAMENTO!$I$8:$I$1048576,C164)</f>
        <v>0</v>
      </c>
    </row>
    <row r="165" spans="2:5">
      <c r="B165" s="22" t="str">
        <f t="shared" si="2"/>
        <v>sábado</v>
      </c>
      <c r="C165" s="16">
        <v>46179</v>
      </c>
      <c r="D165" s="18">
        <f ca="1">SUMIFS(FATURAMENTO!$H$8:$H$1048576,FATURAMENTO!$M$8:$M$1048576,DIARIO!D$8,FATURAMENTO!$I$8:$I$1048576,DIARIO!C165)</f>
        <v>0</v>
      </c>
      <c r="E165" s="18">
        <f ca="1">SUMIFS(FATURAMENTO!$H$8:$H$1048576,FATURAMENTO!$M$8:$M$1048576,DIARIO!E$8,FATURAMENTO!$I$8:$I$1048576,C165)</f>
        <v>0</v>
      </c>
    </row>
    <row r="166" spans="2:5">
      <c r="B166" s="22" t="str">
        <f t="shared" si="2"/>
        <v>domingo</v>
      </c>
      <c r="C166" s="16">
        <v>46180</v>
      </c>
      <c r="D166" s="18">
        <f ca="1">SUMIFS(FATURAMENTO!$H$8:$H$1048576,FATURAMENTO!$M$8:$M$1048576,DIARIO!D$8,FATURAMENTO!$I$8:$I$1048576,DIARIO!C166)</f>
        <v>0</v>
      </c>
      <c r="E166" s="18">
        <f ca="1">SUMIFS(FATURAMENTO!$H$8:$H$1048576,FATURAMENTO!$M$8:$M$1048576,DIARIO!E$8,FATURAMENTO!$I$8:$I$1048576,C166)</f>
        <v>0</v>
      </c>
    </row>
    <row r="167" spans="2:5">
      <c r="B167" s="22" t="str">
        <f t="shared" si="2"/>
        <v>segunda-feira</v>
      </c>
      <c r="C167" s="16">
        <v>46181</v>
      </c>
      <c r="D167" s="18">
        <f ca="1">SUMIFS(FATURAMENTO!$H$8:$H$1048576,FATURAMENTO!$M$8:$M$1048576,DIARIO!D$8,FATURAMENTO!$I$8:$I$1048576,DIARIO!C167)</f>
        <v>0</v>
      </c>
      <c r="E167" s="18">
        <f ca="1">SUMIFS(FATURAMENTO!$H$8:$H$1048576,FATURAMENTO!$M$8:$M$1048576,DIARIO!E$8,FATURAMENTO!$I$8:$I$1048576,C167)</f>
        <v>0</v>
      </c>
    </row>
    <row r="168" spans="2:5">
      <c r="B168" s="22" t="str">
        <f t="shared" si="2"/>
        <v>terça-feira</v>
      </c>
      <c r="C168" s="16">
        <v>46182</v>
      </c>
      <c r="D168" s="18">
        <f ca="1">SUMIFS(FATURAMENTO!$H$8:$H$1048576,FATURAMENTO!$M$8:$M$1048576,DIARIO!D$8,FATURAMENTO!$I$8:$I$1048576,DIARIO!C168)</f>
        <v>0</v>
      </c>
      <c r="E168" s="18">
        <f ca="1">SUMIFS(FATURAMENTO!$H$8:$H$1048576,FATURAMENTO!$M$8:$M$1048576,DIARIO!E$8,FATURAMENTO!$I$8:$I$1048576,C168)</f>
        <v>0</v>
      </c>
    </row>
    <row r="169" spans="2:5">
      <c r="B169" s="22" t="str">
        <f t="shared" si="2"/>
        <v>quarta-feira</v>
      </c>
      <c r="C169" s="16">
        <v>46183</v>
      </c>
      <c r="D169" s="18">
        <f ca="1">SUMIFS(FATURAMENTO!$H$8:$H$1048576,FATURAMENTO!$M$8:$M$1048576,DIARIO!D$8,FATURAMENTO!$I$8:$I$1048576,DIARIO!C169)</f>
        <v>0</v>
      </c>
      <c r="E169" s="18">
        <f ca="1">SUMIFS(FATURAMENTO!$H$8:$H$1048576,FATURAMENTO!$M$8:$M$1048576,DIARIO!E$8,FATURAMENTO!$I$8:$I$1048576,C169)</f>
        <v>0</v>
      </c>
    </row>
    <row r="170" spans="2:5">
      <c r="B170" s="22" t="str">
        <f t="shared" si="2"/>
        <v>quinta-feira</v>
      </c>
      <c r="C170" s="16">
        <v>46184</v>
      </c>
      <c r="D170" s="18">
        <f ca="1">SUMIFS(FATURAMENTO!$H$8:$H$1048576,FATURAMENTO!$M$8:$M$1048576,DIARIO!D$8,FATURAMENTO!$I$8:$I$1048576,DIARIO!C170)</f>
        <v>7750</v>
      </c>
      <c r="E170" s="18">
        <f ca="1">SUMIFS(FATURAMENTO!$H$8:$H$1048576,FATURAMENTO!$M$8:$M$1048576,DIARIO!E$8,FATURAMENTO!$I$8:$I$1048576,C170)</f>
        <v>0</v>
      </c>
    </row>
    <row r="171" spans="2:5">
      <c r="B171" s="22" t="str">
        <f t="shared" si="2"/>
        <v>sexta-feira</v>
      </c>
      <c r="C171" s="16">
        <v>46185</v>
      </c>
      <c r="D171" s="18">
        <f ca="1">SUMIFS(FATURAMENTO!$H$8:$H$1048576,FATURAMENTO!$M$8:$M$1048576,DIARIO!D$8,FATURAMENTO!$I$8:$I$1048576,DIARIO!C171)</f>
        <v>11924</v>
      </c>
      <c r="E171" s="18">
        <f ca="1">SUMIFS(FATURAMENTO!$H$8:$H$1048576,FATURAMENTO!$M$8:$M$1048576,DIARIO!E$8,FATURAMENTO!$I$8:$I$1048576,C171)</f>
        <v>0</v>
      </c>
    </row>
    <row r="172" spans="2:5">
      <c r="B172" s="22" t="str">
        <f t="shared" si="2"/>
        <v>sábado</v>
      </c>
      <c r="C172" s="16">
        <v>46186</v>
      </c>
      <c r="D172" s="18">
        <f ca="1">SUMIFS(FATURAMENTO!$H$8:$H$1048576,FATURAMENTO!$M$8:$M$1048576,DIARIO!D$8,FATURAMENTO!$I$8:$I$1048576,DIARIO!C172)</f>
        <v>0</v>
      </c>
      <c r="E172" s="18">
        <f ca="1">SUMIFS(FATURAMENTO!$H$8:$H$1048576,FATURAMENTO!$M$8:$M$1048576,DIARIO!E$8,FATURAMENTO!$I$8:$I$1048576,C172)</f>
        <v>0</v>
      </c>
    </row>
    <row r="173" spans="2:5">
      <c r="B173" s="22" t="str">
        <f t="shared" si="2"/>
        <v>domingo</v>
      </c>
      <c r="C173" s="16">
        <v>46187</v>
      </c>
      <c r="D173" s="18">
        <f ca="1">SUMIFS(FATURAMENTO!$H$8:$H$1048576,FATURAMENTO!$M$8:$M$1048576,DIARIO!D$8,FATURAMENTO!$I$8:$I$1048576,DIARIO!C173)</f>
        <v>0</v>
      </c>
      <c r="E173" s="18">
        <f ca="1">SUMIFS(FATURAMENTO!$H$8:$H$1048576,FATURAMENTO!$M$8:$M$1048576,DIARIO!E$8,FATURAMENTO!$I$8:$I$1048576,C173)</f>
        <v>0</v>
      </c>
    </row>
    <row r="174" spans="2:5">
      <c r="B174" s="22" t="str">
        <f t="shared" si="2"/>
        <v>segunda-feira</v>
      </c>
      <c r="C174" s="16">
        <v>46188</v>
      </c>
      <c r="D174" s="18">
        <f ca="1">SUMIFS(FATURAMENTO!$H$8:$H$1048576,FATURAMENTO!$M$8:$M$1048576,DIARIO!D$8,FATURAMENTO!$I$8:$I$1048576,DIARIO!C174)</f>
        <v>0</v>
      </c>
      <c r="E174" s="18">
        <f ca="1">SUMIFS(FATURAMENTO!$H$8:$H$1048576,FATURAMENTO!$M$8:$M$1048576,DIARIO!E$8,FATURAMENTO!$I$8:$I$1048576,C174)</f>
        <v>0</v>
      </c>
    </row>
    <row r="175" spans="2:5">
      <c r="B175" s="22" t="str">
        <f t="shared" si="2"/>
        <v>terça-feira</v>
      </c>
      <c r="C175" s="16">
        <v>46189</v>
      </c>
      <c r="D175" s="18">
        <f ca="1">SUMIFS(FATURAMENTO!$H$8:$H$1048576,FATURAMENTO!$M$8:$M$1048576,DIARIO!D$8,FATURAMENTO!$I$8:$I$1048576,DIARIO!C175)</f>
        <v>0</v>
      </c>
      <c r="E175" s="18">
        <f ca="1">SUMIFS(FATURAMENTO!$H$8:$H$1048576,FATURAMENTO!$M$8:$M$1048576,DIARIO!E$8,FATURAMENTO!$I$8:$I$1048576,C175)</f>
        <v>0</v>
      </c>
    </row>
    <row r="176" spans="2:5">
      <c r="B176" s="22" t="str">
        <f t="shared" si="2"/>
        <v>quarta-feira</v>
      </c>
      <c r="C176" s="16">
        <v>46190</v>
      </c>
      <c r="D176" s="18">
        <f ca="1">SUMIFS(FATURAMENTO!$H$8:$H$1048576,FATURAMENTO!$M$8:$M$1048576,DIARIO!D$8,FATURAMENTO!$I$8:$I$1048576,DIARIO!C176)</f>
        <v>0</v>
      </c>
      <c r="E176" s="18">
        <f ca="1">SUMIFS(FATURAMENTO!$H$8:$H$1048576,FATURAMENTO!$M$8:$M$1048576,DIARIO!E$8,FATURAMENTO!$I$8:$I$1048576,C176)</f>
        <v>0</v>
      </c>
    </row>
    <row r="177" spans="2:5">
      <c r="B177" s="22" t="str">
        <f t="shared" si="2"/>
        <v>quinta-feira</v>
      </c>
      <c r="C177" s="16">
        <v>46191</v>
      </c>
      <c r="D177" s="18">
        <f ca="1">SUMIFS(FATURAMENTO!$H$8:$H$1048576,FATURAMENTO!$M$8:$M$1048576,DIARIO!D$8,FATURAMENTO!$I$8:$I$1048576,DIARIO!C177)</f>
        <v>0</v>
      </c>
      <c r="E177" s="18">
        <f ca="1">SUMIFS(FATURAMENTO!$H$8:$H$1048576,FATURAMENTO!$M$8:$M$1048576,DIARIO!E$8,FATURAMENTO!$I$8:$I$1048576,C177)</f>
        <v>0</v>
      </c>
    </row>
    <row r="178" spans="2:5">
      <c r="B178" s="22" t="str">
        <f t="shared" si="2"/>
        <v>sexta-feira</v>
      </c>
      <c r="C178" s="16">
        <v>46192</v>
      </c>
      <c r="D178" s="18">
        <f ca="1">SUMIFS(FATURAMENTO!$H$8:$H$1048576,FATURAMENTO!$M$8:$M$1048576,DIARIO!D$8,FATURAMENTO!$I$8:$I$1048576,DIARIO!C178)</f>
        <v>0</v>
      </c>
      <c r="E178" s="18">
        <f ca="1">SUMIFS(FATURAMENTO!$H$8:$H$1048576,FATURAMENTO!$M$8:$M$1048576,DIARIO!E$8,FATURAMENTO!$I$8:$I$1048576,C178)</f>
        <v>0</v>
      </c>
    </row>
    <row r="179" spans="2:5">
      <c r="B179" s="22" t="str">
        <f t="shared" si="2"/>
        <v>sábado</v>
      </c>
      <c r="C179" s="16">
        <v>46193</v>
      </c>
      <c r="D179" s="18">
        <f ca="1">SUMIFS(FATURAMENTO!$H$8:$H$1048576,FATURAMENTO!$M$8:$M$1048576,DIARIO!D$8,FATURAMENTO!$I$8:$I$1048576,DIARIO!C179)</f>
        <v>0</v>
      </c>
      <c r="E179" s="18">
        <f ca="1">SUMIFS(FATURAMENTO!$H$8:$H$1048576,FATURAMENTO!$M$8:$M$1048576,DIARIO!E$8,FATURAMENTO!$I$8:$I$1048576,C179)</f>
        <v>0</v>
      </c>
    </row>
    <row r="180" spans="2:5">
      <c r="B180" s="22" t="str">
        <f t="shared" si="2"/>
        <v>domingo</v>
      </c>
      <c r="C180" s="16">
        <v>46194</v>
      </c>
      <c r="D180" s="18">
        <f ca="1">SUMIFS(FATURAMENTO!$H$8:$H$1048576,FATURAMENTO!$M$8:$M$1048576,DIARIO!D$8,FATURAMENTO!$I$8:$I$1048576,DIARIO!C180)</f>
        <v>0</v>
      </c>
      <c r="E180" s="18">
        <f ca="1">SUMIFS(FATURAMENTO!$H$8:$H$1048576,FATURAMENTO!$M$8:$M$1048576,DIARIO!E$8,FATURAMENTO!$I$8:$I$1048576,C180)</f>
        <v>0</v>
      </c>
    </row>
    <row r="181" spans="2:5">
      <c r="B181" s="22" t="str">
        <f t="shared" si="2"/>
        <v>segunda-feira</v>
      </c>
      <c r="C181" s="16">
        <v>46195</v>
      </c>
      <c r="D181" s="18">
        <f ca="1">SUMIFS(FATURAMENTO!$H$8:$H$1048576,FATURAMENTO!$M$8:$M$1048576,DIARIO!D$8,FATURAMENTO!$I$8:$I$1048576,DIARIO!C181)</f>
        <v>0</v>
      </c>
      <c r="E181" s="18">
        <f ca="1">SUMIFS(FATURAMENTO!$H$8:$H$1048576,FATURAMENTO!$M$8:$M$1048576,DIARIO!E$8,FATURAMENTO!$I$8:$I$1048576,C181)</f>
        <v>0</v>
      </c>
    </row>
    <row r="182" spans="2:5">
      <c r="B182" s="22" t="str">
        <f t="shared" si="2"/>
        <v>terça-feira</v>
      </c>
      <c r="C182" s="16">
        <v>46196</v>
      </c>
      <c r="D182" s="18">
        <f ca="1">SUMIFS(FATURAMENTO!$H$8:$H$1048576,FATURAMENTO!$M$8:$M$1048576,DIARIO!D$8,FATURAMENTO!$I$8:$I$1048576,DIARIO!C182)</f>
        <v>0</v>
      </c>
      <c r="E182" s="18">
        <f ca="1">SUMIFS(FATURAMENTO!$H$8:$H$1048576,FATURAMENTO!$M$8:$M$1048576,DIARIO!E$8,FATURAMENTO!$I$8:$I$1048576,C182)</f>
        <v>0</v>
      </c>
    </row>
    <row r="183" spans="2:5">
      <c r="B183" s="22" t="str">
        <f t="shared" si="2"/>
        <v>quarta-feira</v>
      </c>
      <c r="C183" s="16">
        <v>46197</v>
      </c>
      <c r="D183" s="18">
        <f ca="1">SUMIFS(FATURAMENTO!$H$8:$H$1048576,FATURAMENTO!$M$8:$M$1048576,DIARIO!D$8,FATURAMENTO!$I$8:$I$1048576,DIARIO!C183)</f>
        <v>0</v>
      </c>
      <c r="E183" s="18">
        <f ca="1">SUMIFS(FATURAMENTO!$H$8:$H$1048576,FATURAMENTO!$M$8:$M$1048576,DIARIO!E$8,FATURAMENTO!$I$8:$I$1048576,C183)</f>
        <v>0</v>
      </c>
    </row>
    <row r="184" spans="2:5">
      <c r="B184" s="22" t="str">
        <f t="shared" si="2"/>
        <v>quinta-feira</v>
      </c>
      <c r="C184" s="16">
        <v>46198</v>
      </c>
      <c r="D184" s="18">
        <f ca="1">SUMIFS(FATURAMENTO!$H$8:$H$1048576,FATURAMENTO!$M$8:$M$1048576,DIARIO!D$8,FATURAMENTO!$I$8:$I$1048576,DIARIO!C184)</f>
        <v>0</v>
      </c>
      <c r="E184" s="18">
        <f ca="1">SUMIFS(FATURAMENTO!$H$8:$H$1048576,FATURAMENTO!$M$8:$M$1048576,DIARIO!E$8,FATURAMENTO!$I$8:$I$1048576,C184)</f>
        <v>0</v>
      </c>
    </row>
    <row r="185" spans="2:5">
      <c r="B185" s="22" t="str">
        <f t="shared" si="2"/>
        <v>sexta-feira</v>
      </c>
      <c r="C185" s="16">
        <v>46199</v>
      </c>
      <c r="D185" s="18">
        <f ca="1">SUMIFS(FATURAMENTO!$H$8:$H$1048576,FATURAMENTO!$M$8:$M$1048576,DIARIO!D$8,FATURAMENTO!$I$8:$I$1048576,DIARIO!C185)</f>
        <v>0</v>
      </c>
      <c r="E185" s="18">
        <f ca="1">SUMIFS(FATURAMENTO!$H$8:$H$1048576,FATURAMENTO!$M$8:$M$1048576,DIARIO!E$8,FATURAMENTO!$I$8:$I$1048576,C185)</f>
        <v>0</v>
      </c>
    </row>
    <row r="186" spans="2:5">
      <c r="B186" s="22" t="str">
        <f t="shared" si="2"/>
        <v>sábado</v>
      </c>
      <c r="C186" s="16">
        <v>46200</v>
      </c>
      <c r="D186" s="18">
        <f ca="1">SUMIFS(FATURAMENTO!$H$8:$H$1048576,FATURAMENTO!$M$8:$M$1048576,DIARIO!D$8,FATURAMENTO!$I$8:$I$1048576,DIARIO!C186)</f>
        <v>0</v>
      </c>
      <c r="E186" s="18">
        <f ca="1">SUMIFS(FATURAMENTO!$H$8:$H$1048576,FATURAMENTO!$M$8:$M$1048576,DIARIO!E$8,FATURAMENTO!$I$8:$I$1048576,C186)</f>
        <v>0</v>
      </c>
    </row>
    <row r="187" spans="2:5">
      <c r="B187" s="22" t="str">
        <f t="shared" si="2"/>
        <v>domingo</v>
      </c>
      <c r="C187" s="16">
        <v>46201</v>
      </c>
      <c r="D187" s="18">
        <f ca="1">SUMIFS(FATURAMENTO!$H$8:$H$1048576,FATURAMENTO!$M$8:$M$1048576,DIARIO!D$8,FATURAMENTO!$I$8:$I$1048576,DIARIO!C187)</f>
        <v>0</v>
      </c>
      <c r="E187" s="18">
        <f ca="1">SUMIFS(FATURAMENTO!$H$8:$H$1048576,FATURAMENTO!$M$8:$M$1048576,DIARIO!E$8,FATURAMENTO!$I$8:$I$1048576,C187)</f>
        <v>0</v>
      </c>
    </row>
    <row r="188" spans="2:5">
      <c r="B188" s="22" t="str">
        <f t="shared" si="2"/>
        <v>segunda-feira</v>
      </c>
      <c r="C188" s="16">
        <v>46202</v>
      </c>
      <c r="D188" s="18">
        <f ca="1">SUMIFS(FATURAMENTO!$H$8:$H$1048576,FATURAMENTO!$M$8:$M$1048576,DIARIO!D$8,FATURAMENTO!$I$8:$I$1048576,DIARIO!C188)</f>
        <v>0</v>
      </c>
      <c r="E188" s="18">
        <f ca="1">SUMIFS(FATURAMENTO!$H$8:$H$1048576,FATURAMENTO!$M$8:$M$1048576,DIARIO!E$8,FATURAMENTO!$I$8:$I$1048576,C188)</f>
        <v>0</v>
      </c>
    </row>
    <row r="189" spans="2:5">
      <c r="B189" s="22" t="str">
        <f t="shared" si="2"/>
        <v>terça-feira</v>
      </c>
      <c r="C189" s="16">
        <v>46203</v>
      </c>
      <c r="D189" s="18">
        <f ca="1">SUMIFS(FATURAMENTO!$H$8:$H$1048576,FATURAMENTO!$M$8:$M$1048576,DIARIO!D$8,FATURAMENTO!$I$8:$I$1048576,DIARIO!C189)</f>
        <v>0</v>
      </c>
      <c r="E189" s="18">
        <f ca="1">SUMIFS(FATURAMENTO!$H$8:$H$1048576,FATURAMENTO!$M$8:$M$1048576,DIARIO!E$8,FATURAMENTO!$I$8:$I$1048576,C189)</f>
        <v>0</v>
      </c>
    </row>
    <row r="190" spans="2:5">
      <c r="B190" s="22" t="str">
        <f t="shared" si="2"/>
        <v>quarta-feira</v>
      </c>
      <c r="C190" s="16">
        <v>46204</v>
      </c>
      <c r="D190" s="18">
        <f ca="1">SUMIFS(FATURAMENTO!$H$8:$H$1048576,FATURAMENTO!$M$8:$M$1048576,DIARIO!D$8,FATURAMENTO!$I$8:$I$1048576,DIARIO!C190)</f>
        <v>0</v>
      </c>
      <c r="E190" s="18">
        <f ca="1">SUMIFS(FATURAMENTO!$H$8:$H$1048576,FATURAMENTO!$M$8:$M$1048576,DIARIO!E$8,FATURAMENTO!$I$8:$I$1048576,C190)</f>
        <v>0</v>
      </c>
    </row>
    <row r="191" spans="2:5">
      <c r="B191" s="22" t="str">
        <f t="shared" si="2"/>
        <v>quinta-feira</v>
      </c>
      <c r="C191" s="16">
        <v>46205</v>
      </c>
      <c r="D191" s="18">
        <f ca="1">SUMIFS(FATURAMENTO!$H$8:$H$1048576,FATURAMENTO!$M$8:$M$1048576,DIARIO!D$8,FATURAMENTO!$I$8:$I$1048576,DIARIO!C191)</f>
        <v>0</v>
      </c>
      <c r="E191" s="18">
        <f ca="1">SUMIFS(FATURAMENTO!$H$8:$H$1048576,FATURAMENTO!$M$8:$M$1048576,DIARIO!E$8,FATURAMENTO!$I$8:$I$1048576,C191)</f>
        <v>0</v>
      </c>
    </row>
    <row r="192" spans="2:5">
      <c r="B192" s="22" t="str">
        <f t="shared" si="2"/>
        <v>sexta-feira</v>
      </c>
      <c r="C192" s="16">
        <v>46206</v>
      </c>
      <c r="D192" s="18">
        <f ca="1">SUMIFS(FATURAMENTO!$H$8:$H$1048576,FATURAMENTO!$M$8:$M$1048576,DIARIO!D$8,FATURAMENTO!$I$8:$I$1048576,DIARIO!C192)</f>
        <v>0</v>
      </c>
      <c r="E192" s="18">
        <f ca="1">SUMIFS(FATURAMENTO!$H$8:$H$1048576,FATURAMENTO!$M$8:$M$1048576,DIARIO!E$8,FATURAMENTO!$I$8:$I$1048576,C192)</f>
        <v>0</v>
      </c>
    </row>
    <row r="193" spans="2:5">
      <c r="B193" s="22" t="str">
        <f t="shared" si="2"/>
        <v>sábado</v>
      </c>
      <c r="C193" s="16">
        <v>46207</v>
      </c>
      <c r="D193" s="18">
        <f ca="1">SUMIFS(FATURAMENTO!$H$8:$H$1048576,FATURAMENTO!$M$8:$M$1048576,DIARIO!D$8,FATURAMENTO!$I$8:$I$1048576,DIARIO!C193)</f>
        <v>0</v>
      </c>
      <c r="E193" s="18">
        <f ca="1">SUMIFS(FATURAMENTO!$H$8:$H$1048576,FATURAMENTO!$M$8:$M$1048576,DIARIO!E$8,FATURAMENTO!$I$8:$I$1048576,C193)</f>
        <v>0</v>
      </c>
    </row>
    <row r="194" spans="2:5">
      <c r="B194" s="22" t="str">
        <f t="shared" si="2"/>
        <v>domingo</v>
      </c>
      <c r="C194" s="16">
        <v>46208</v>
      </c>
      <c r="D194" s="18">
        <f ca="1">SUMIFS(FATURAMENTO!$H$8:$H$1048576,FATURAMENTO!$M$8:$M$1048576,DIARIO!D$8,FATURAMENTO!$I$8:$I$1048576,DIARIO!C194)</f>
        <v>0</v>
      </c>
      <c r="E194" s="18">
        <f ca="1">SUMIFS(FATURAMENTO!$H$8:$H$1048576,FATURAMENTO!$M$8:$M$1048576,DIARIO!E$8,FATURAMENTO!$I$8:$I$1048576,C194)</f>
        <v>0</v>
      </c>
    </row>
    <row r="195" spans="2:5">
      <c r="B195" s="22" t="str">
        <f t="shared" si="2"/>
        <v>segunda-feira</v>
      </c>
      <c r="C195" s="16">
        <v>46209</v>
      </c>
      <c r="D195" s="18">
        <f ca="1">SUMIFS(FATURAMENTO!$H$8:$H$1048576,FATURAMENTO!$M$8:$M$1048576,DIARIO!D$8,FATURAMENTO!$I$8:$I$1048576,DIARIO!C195)</f>
        <v>0</v>
      </c>
      <c r="E195" s="18">
        <f ca="1">SUMIFS(FATURAMENTO!$H$8:$H$1048576,FATURAMENTO!$M$8:$M$1048576,DIARIO!E$8,FATURAMENTO!$I$8:$I$1048576,C195)</f>
        <v>0</v>
      </c>
    </row>
    <row r="196" spans="2:5">
      <c r="B196" s="22" t="str">
        <f t="shared" si="2"/>
        <v>terça-feira</v>
      </c>
      <c r="C196" s="16">
        <v>46210</v>
      </c>
      <c r="D196" s="18">
        <f ca="1">SUMIFS(FATURAMENTO!$H$8:$H$1048576,FATURAMENTO!$M$8:$M$1048576,DIARIO!D$8,FATURAMENTO!$I$8:$I$1048576,DIARIO!C196)</f>
        <v>0</v>
      </c>
      <c r="E196" s="18">
        <f ca="1">SUMIFS(FATURAMENTO!$H$8:$H$1048576,FATURAMENTO!$M$8:$M$1048576,DIARIO!E$8,FATURAMENTO!$I$8:$I$1048576,C196)</f>
        <v>0</v>
      </c>
    </row>
    <row r="197" spans="2:5">
      <c r="B197" s="22" t="str">
        <f t="shared" si="2"/>
        <v>quarta-feira</v>
      </c>
      <c r="C197" s="16">
        <v>46211</v>
      </c>
      <c r="D197" s="18">
        <f ca="1">SUMIFS(FATURAMENTO!$H$8:$H$1048576,FATURAMENTO!$M$8:$M$1048576,DIARIO!D$8,FATURAMENTO!$I$8:$I$1048576,DIARIO!C197)</f>
        <v>0</v>
      </c>
      <c r="E197" s="18">
        <f ca="1">SUMIFS(FATURAMENTO!$H$8:$H$1048576,FATURAMENTO!$M$8:$M$1048576,DIARIO!E$8,FATURAMENTO!$I$8:$I$1048576,C197)</f>
        <v>0</v>
      </c>
    </row>
    <row r="198" spans="2:5">
      <c r="B198" s="22" t="str">
        <f t="shared" si="2"/>
        <v>quinta-feira</v>
      </c>
      <c r="C198" s="16">
        <v>46212</v>
      </c>
      <c r="D198" s="18">
        <f ca="1">SUMIFS(FATURAMENTO!$H$8:$H$1048576,FATURAMENTO!$M$8:$M$1048576,DIARIO!D$8,FATURAMENTO!$I$8:$I$1048576,DIARIO!C198)</f>
        <v>0</v>
      </c>
      <c r="E198" s="18">
        <f ca="1">SUMIFS(FATURAMENTO!$H$8:$H$1048576,FATURAMENTO!$M$8:$M$1048576,DIARIO!E$8,FATURAMENTO!$I$8:$I$1048576,C198)</f>
        <v>0</v>
      </c>
    </row>
    <row r="199" spans="2:5">
      <c r="B199" s="22" t="str">
        <f t="shared" si="2"/>
        <v>sexta-feira</v>
      </c>
      <c r="C199" s="16">
        <v>46213</v>
      </c>
      <c r="D199" s="18">
        <f ca="1">SUMIFS(FATURAMENTO!$H$8:$H$1048576,FATURAMENTO!$M$8:$M$1048576,DIARIO!D$8,FATURAMENTO!$I$8:$I$1048576,DIARIO!C199)</f>
        <v>0</v>
      </c>
      <c r="E199" s="18">
        <f ca="1">SUMIFS(FATURAMENTO!$H$8:$H$1048576,FATURAMENTO!$M$8:$M$1048576,DIARIO!E$8,FATURAMENTO!$I$8:$I$1048576,C199)</f>
        <v>0</v>
      </c>
    </row>
    <row r="200" spans="2:5">
      <c r="B200" s="22" t="str">
        <f t="shared" si="2"/>
        <v>sábado</v>
      </c>
      <c r="C200" s="16">
        <v>46214</v>
      </c>
      <c r="D200" s="18">
        <f ca="1">SUMIFS(FATURAMENTO!$H$8:$H$1048576,FATURAMENTO!$M$8:$M$1048576,DIARIO!D$8,FATURAMENTO!$I$8:$I$1048576,DIARIO!C200)</f>
        <v>0</v>
      </c>
      <c r="E200" s="18">
        <f ca="1">SUMIFS(FATURAMENTO!$H$8:$H$1048576,FATURAMENTO!$M$8:$M$1048576,DIARIO!E$8,FATURAMENTO!$I$8:$I$1048576,C200)</f>
        <v>0</v>
      </c>
    </row>
    <row r="201" spans="2:5">
      <c r="B201" s="22" t="str">
        <f t="shared" ref="B201:B264" si="3">TEXT(C201,"dddd")</f>
        <v>domingo</v>
      </c>
      <c r="C201" s="16">
        <v>46215</v>
      </c>
      <c r="D201" s="18">
        <f ca="1">SUMIFS(FATURAMENTO!$H$8:$H$1048576,FATURAMENTO!$M$8:$M$1048576,DIARIO!D$8,FATURAMENTO!$I$8:$I$1048576,DIARIO!C201)</f>
        <v>0</v>
      </c>
      <c r="E201" s="18">
        <f ca="1">SUMIFS(FATURAMENTO!$H$8:$H$1048576,FATURAMENTO!$M$8:$M$1048576,DIARIO!E$8,FATURAMENTO!$I$8:$I$1048576,C201)</f>
        <v>0</v>
      </c>
    </row>
    <row r="202" spans="2:5">
      <c r="B202" s="22" t="str">
        <f t="shared" si="3"/>
        <v>segunda-feira</v>
      </c>
      <c r="C202" s="16">
        <v>46216</v>
      </c>
      <c r="D202" s="18">
        <f ca="1">SUMIFS(FATURAMENTO!$H$8:$H$1048576,FATURAMENTO!$M$8:$M$1048576,DIARIO!D$8,FATURAMENTO!$I$8:$I$1048576,DIARIO!C202)</f>
        <v>0</v>
      </c>
      <c r="E202" s="18">
        <f ca="1">SUMIFS(FATURAMENTO!$H$8:$H$1048576,FATURAMENTO!$M$8:$M$1048576,DIARIO!E$8,FATURAMENTO!$I$8:$I$1048576,C202)</f>
        <v>0</v>
      </c>
    </row>
    <row r="203" spans="2:5">
      <c r="B203" s="22" t="str">
        <f t="shared" si="3"/>
        <v>terça-feira</v>
      </c>
      <c r="C203" s="16">
        <v>46217</v>
      </c>
      <c r="D203" s="18">
        <f ca="1">SUMIFS(FATURAMENTO!$H$8:$H$1048576,FATURAMENTO!$M$8:$M$1048576,DIARIO!D$8,FATURAMENTO!$I$8:$I$1048576,DIARIO!C203)</f>
        <v>0</v>
      </c>
      <c r="E203" s="18">
        <f ca="1">SUMIFS(FATURAMENTO!$H$8:$H$1048576,FATURAMENTO!$M$8:$M$1048576,DIARIO!E$8,FATURAMENTO!$I$8:$I$1048576,C203)</f>
        <v>0</v>
      </c>
    </row>
    <row r="204" spans="2:5">
      <c r="B204" s="22" t="str">
        <f t="shared" si="3"/>
        <v>quarta-feira</v>
      </c>
      <c r="C204" s="16">
        <v>46218</v>
      </c>
      <c r="D204" s="18">
        <f ca="1">SUMIFS(FATURAMENTO!$H$8:$H$1048576,FATURAMENTO!$M$8:$M$1048576,DIARIO!D$8,FATURAMENTO!$I$8:$I$1048576,DIARIO!C204)</f>
        <v>0</v>
      </c>
      <c r="E204" s="18">
        <f ca="1">SUMIFS(FATURAMENTO!$H$8:$H$1048576,FATURAMENTO!$M$8:$M$1048576,DIARIO!E$8,FATURAMENTO!$I$8:$I$1048576,C204)</f>
        <v>0</v>
      </c>
    </row>
    <row r="205" spans="2:5">
      <c r="B205" s="22" t="str">
        <f t="shared" si="3"/>
        <v>quinta-feira</v>
      </c>
      <c r="C205" s="16">
        <v>46219</v>
      </c>
      <c r="D205" s="18">
        <f ca="1">SUMIFS(FATURAMENTO!$H$8:$H$1048576,FATURAMENTO!$M$8:$M$1048576,DIARIO!D$8,FATURAMENTO!$I$8:$I$1048576,DIARIO!C205)</f>
        <v>0</v>
      </c>
      <c r="E205" s="18">
        <f ca="1">SUMIFS(FATURAMENTO!$H$8:$H$1048576,FATURAMENTO!$M$8:$M$1048576,DIARIO!E$8,FATURAMENTO!$I$8:$I$1048576,C205)</f>
        <v>0</v>
      </c>
    </row>
    <row r="206" spans="2:5">
      <c r="B206" s="22" t="str">
        <f t="shared" si="3"/>
        <v>sexta-feira</v>
      </c>
      <c r="C206" s="16">
        <v>46220</v>
      </c>
      <c r="D206" s="18">
        <f ca="1">SUMIFS(FATURAMENTO!$H$8:$H$1048576,FATURAMENTO!$M$8:$M$1048576,DIARIO!D$8,FATURAMENTO!$I$8:$I$1048576,DIARIO!C206)</f>
        <v>0</v>
      </c>
      <c r="E206" s="18">
        <f ca="1">SUMIFS(FATURAMENTO!$H$8:$H$1048576,FATURAMENTO!$M$8:$M$1048576,DIARIO!E$8,FATURAMENTO!$I$8:$I$1048576,C206)</f>
        <v>0</v>
      </c>
    </row>
    <row r="207" spans="2:5">
      <c r="B207" s="22" t="str">
        <f t="shared" si="3"/>
        <v>sábado</v>
      </c>
      <c r="C207" s="16">
        <v>46221</v>
      </c>
      <c r="D207" s="18">
        <f ca="1">SUMIFS(FATURAMENTO!$H$8:$H$1048576,FATURAMENTO!$M$8:$M$1048576,DIARIO!D$8,FATURAMENTO!$I$8:$I$1048576,DIARIO!C207)</f>
        <v>0</v>
      </c>
      <c r="E207" s="18">
        <f ca="1">SUMIFS(FATURAMENTO!$H$8:$H$1048576,FATURAMENTO!$M$8:$M$1048576,DIARIO!E$8,FATURAMENTO!$I$8:$I$1048576,C207)</f>
        <v>0</v>
      </c>
    </row>
    <row r="208" spans="2:5">
      <c r="B208" s="22" t="str">
        <f t="shared" si="3"/>
        <v>domingo</v>
      </c>
      <c r="C208" s="16">
        <v>46222</v>
      </c>
      <c r="D208" s="18">
        <f ca="1">SUMIFS(FATURAMENTO!$H$8:$H$1048576,FATURAMENTO!$M$8:$M$1048576,DIARIO!D$8,FATURAMENTO!$I$8:$I$1048576,DIARIO!C208)</f>
        <v>0</v>
      </c>
      <c r="E208" s="18">
        <f ca="1">SUMIFS(FATURAMENTO!$H$8:$H$1048576,FATURAMENTO!$M$8:$M$1048576,DIARIO!E$8,FATURAMENTO!$I$8:$I$1048576,C208)</f>
        <v>0</v>
      </c>
    </row>
    <row r="209" spans="2:5">
      <c r="B209" s="22" t="str">
        <f t="shared" si="3"/>
        <v>segunda-feira</v>
      </c>
      <c r="C209" s="16">
        <v>46223</v>
      </c>
      <c r="D209" s="18">
        <f ca="1">SUMIFS(FATURAMENTO!$H$8:$H$1048576,FATURAMENTO!$M$8:$M$1048576,DIARIO!D$8,FATURAMENTO!$I$8:$I$1048576,DIARIO!C209)</f>
        <v>0</v>
      </c>
      <c r="E209" s="18">
        <f ca="1">SUMIFS(FATURAMENTO!$H$8:$H$1048576,FATURAMENTO!$M$8:$M$1048576,DIARIO!E$8,FATURAMENTO!$I$8:$I$1048576,C209)</f>
        <v>0</v>
      </c>
    </row>
    <row r="210" spans="2:5">
      <c r="B210" s="22" t="str">
        <f t="shared" si="3"/>
        <v>terça-feira</v>
      </c>
      <c r="C210" s="16">
        <v>46224</v>
      </c>
      <c r="D210" s="18">
        <f ca="1">SUMIFS(FATURAMENTO!$H$8:$H$1048576,FATURAMENTO!$M$8:$M$1048576,DIARIO!D$8,FATURAMENTO!$I$8:$I$1048576,DIARIO!C210)</f>
        <v>0</v>
      </c>
      <c r="E210" s="18">
        <f ca="1">SUMIFS(FATURAMENTO!$H$8:$H$1048576,FATURAMENTO!$M$8:$M$1048576,DIARIO!E$8,FATURAMENTO!$I$8:$I$1048576,C210)</f>
        <v>0</v>
      </c>
    </row>
    <row r="211" spans="2:5">
      <c r="B211" s="22" t="str">
        <f t="shared" si="3"/>
        <v>quarta-feira</v>
      </c>
      <c r="C211" s="16">
        <v>46225</v>
      </c>
      <c r="D211" s="18">
        <f ca="1">SUMIFS(FATURAMENTO!$H$8:$H$1048576,FATURAMENTO!$M$8:$M$1048576,DIARIO!D$8,FATURAMENTO!$I$8:$I$1048576,DIARIO!C211)</f>
        <v>0</v>
      </c>
      <c r="E211" s="18">
        <f ca="1">SUMIFS(FATURAMENTO!$H$8:$H$1048576,FATURAMENTO!$M$8:$M$1048576,DIARIO!E$8,FATURAMENTO!$I$8:$I$1048576,C211)</f>
        <v>0</v>
      </c>
    </row>
    <row r="212" spans="2:5">
      <c r="B212" s="22" t="str">
        <f t="shared" si="3"/>
        <v>quinta-feira</v>
      </c>
      <c r="C212" s="16">
        <v>46226</v>
      </c>
      <c r="D212" s="18">
        <f ca="1">SUMIFS(FATURAMENTO!$H$8:$H$1048576,FATURAMENTO!$M$8:$M$1048576,DIARIO!D$8,FATURAMENTO!$I$8:$I$1048576,DIARIO!C212)</f>
        <v>0</v>
      </c>
      <c r="E212" s="18">
        <f ca="1">SUMIFS(FATURAMENTO!$H$8:$H$1048576,FATURAMENTO!$M$8:$M$1048576,DIARIO!E$8,FATURAMENTO!$I$8:$I$1048576,C212)</f>
        <v>0</v>
      </c>
    </row>
    <row r="213" spans="2:5">
      <c r="B213" s="22" t="str">
        <f t="shared" si="3"/>
        <v>sexta-feira</v>
      </c>
      <c r="C213" s="16">
        <v>46227</v>
      </c>
      <c r="D213" s="18">
        <f ca="1">SUMIFS(FATURAMENTO!$H$8:$H$1048576,FATURAMENTO!$M$8:$M$1048576,DIARIO!D$8,FATURAMENTO!$I$8:$I$1048576,DIARIO!C213)</f>
        <v>0</v>
      </c>
      <c r="E213" s="18">
        <f ca="1">SUMIFS(FATURAMENTO!$H$8:$H$1048576,FATURAMENTO!$M$8:$M$1048576,DIARIO!E$8,FATURAMENTO!$I$8:$I$1048576,C213)</f>
        <v>0</v>
      </c>
    </row>
    <row r="214" spans="2:5">
      <c r="B214" s="22" t="str">
        <f t="shared" si="3"/>
        <v>sábado</v>
      </c>
      <c r="C214" s="16">
        <v>46228</v>
      </c>
      <c r="D214" s="18">
        <f ca="1">SUMIFS(FATURAMENTO!$H$8:$H$1048576,FATURAMENTO!$M$8:$M$1048576,DIARIO!D$8,FATURAMENTO!$I$8:$I$1048576,DIARIO!C214)</f>
        <v>0</v>
      </c>
      <c r="E214" s="18">
        <f ca="1">SUMIFS(FATURAMENTO!$H$8:$H$1048576,FATURAMENTO!$M$8:$M$1048576,DIARIO!E$8,FATURAMENTO!$I$8:$I$1048576,C214)</f>
        <v>0</v>
      </c>
    </row>
    <row r="215" spans="2:5">
      <c r="B215" s="22" t="str">
        <f t="shared" si="3"/>
        <v>domingo</v>
      </c>
      <c r="C215" s="16">
        <v>46229</v>
      </c>
      <c r="D215" s="18">
        <f ca="1">SUMIFS(FATURAMENTO!$H$8:$H$1048576,FATURAMENTO!$M$8:$M$1048576,DIARIO!D$8,FATURAMENTO!$I$8:$I$1048576,DIARIO!C215)</f>
        <v>0</v>
      </c>
      <c r="E215" s="18">
        <f ca="1">SUMIFS(FATURAMENTO!$H$8:$H$1048576,FATURAMENTO!$M$8:$M$1048576,DIARIO!E$8,FATURAMENTO!$I$8:$I$1048576,C215)</f>
        <v>0</v>
      </c>
    </row>
    <row r="216" spans="2:5">
      <c r="B216" s="22" t="str">
        <f t="shared" si="3"/>
        <v>segunda-feira</v>
      </c>
      <c r="C216" s="16">
        <v>46230</v>
      </c>
      <c r="D216" s="18">
        <f ca="1">SUMIFS(FATURAMENTO!$H$8:$H$1048576,FATURAMENTO!$M$8:$M$1048576,DIARIO!D$8,FATURAMENTO!$I$8:$I$1048576,DIARIO!C216)</f>
        <v>0</v>
      </c>
      <c r="E216" s="18">
        <f ca="1">SUMIFS(FATURAMENTO!$H$8:$H$1048576,FATURAMENTO!$M$8:$M$1048576,DIARIO!E$8,FATURAMENTO!$I$8:$I$1048576,C216)</f>
        <v>0</v>
      </c>
    </row>
    <row r="217" spans="2:5">
      <c r="B217" s="22" t="str">
        <f t="shared" si="3"/>
        <v>terça-feira</v>
      </c>
      <c r="C217" s="16">
        <v>46231</v>
      </c>
      <c r="D217" s="18">
        <f ca="1">SUMIFS(FATURAMENTO!$H$8:$H$1048576,FATURAMENTO!$M$8:$M$1048576,DIARIO!D$8,FATURAMENTO!$I$8:$I$1048576,DIARIO!C217)</f>
        <v>0</v>
      </c>
      <c r="E217" s="18">
        <f ca="1">SUMIFS(FATURAMENTO!$H$8:$H$1048576,FATURAMENTO!$M$8:$M$1048576,DIARIO!E$8,FATURAMENTO!$I$8:$I$1048576,C217)</f>
        <v>0</v>
      </c>
    </row>
    <row r="218" spans="2:5">
      <c r="B218" s="22" t="str">
        <f t="shared" si="3"/>
        <v>quarta-feira</v>
      </c>
      <c r="C218" s="16">
        <v>46232</v>
      </c>
      <c r="D218" s="18">
        <f ca="1">SUMIFS(FATURAMENTO!$H$8:$H$1048576,FATURAMENTO!$M$8:$M$1048576,DIARIO!D$8,FATURAMENTO!$I$8:$I$1048576,DIARIO!C218)</f>
        <v>0</v>
      </c>
      <c r="E218" s="18">
        <f ca="1">SUMIFS(FATURAMENTO!$H$8:$H$1048576,FATURAMENTO!$M$8:$M$1048576,DIARIO!E$8,FATURAMENTO!$I$8:$I$1048576,C218)</f>
        <v>0</v>
      </c>
    </row>
    <row r="219" spans="2:5">
      <c r="B219" s="22" t="str">
        <f t="shared" si="3"/>
        <v>quinta-feira</v>
      </c>
      <c r="C219" s="16">
        <v>46233</v>
      </c>
      <c r="D219" s="18">
        <f ca="1">SUMIFS(FATURAMENTO!$H$8:$H$1048576,FATURAMENTO!$M$8:$M$1048576,DIARIO!D$8,FATURAMENTO!$I$8:$I$1048576,DIARIO!C219)</f>
        <v>0</v>
      </c>
      <c r="E219" s="18">
        <f ca="1">SUMIFS(FATURAMENTO!$H$8:$H$1048576,FATURAMENTO!$M$8:$M$1048576,DIARIO!E$8,FATURAMENTO!$I$8:$I$1048576,C219)</f>
        <v>0</v>
      </c>
    </row>
    <row r="220" spans="2:5">
      <c r="B220" s="22" t="str">
        <f t="shared" si="3"/>
        <v>sexta-feira</v>
      </c>
      <c r="C220" s="16">
        <v>46234</v>
      </c>
      <c r="D220" s="18">
        <f ca="1">SUMIFS(FATURAMENTO!$H$8:$H$1048576,FATURAMENTO!$M$8:$M$1048576,DIARIO!D$8,FATURAMENTO!$I$8:$I$1048576,DIARIO!C220)</f>
        <v>0</v>
      </c>
      <c r="E220" s="18">
        <f ca="1">SUMIFS(FATURAMENTO!$H$8:$H$1048576,FATURAMENTO!$M$8:$M$1048576,DIARIO!E$8,FATURAMENTO!$I$8:$I$1048576,C220)</f>
        <v>0</v>
      </c>
    </row>
    <row r="221" spans="2:5">
      <c r="B221" s="22" t="str">
        <f t="shared" si="3"/>
        <v>sábado</v>
      </c>
      <c r="C221" s="16">
        <v>46235</v>
      </c>
      <c r="D221" s="18">
        <f ca="1">SUMIFS(FATURAMENTO!$H$8:$H$1048576,FATURAMENTO!$M$8:$M$1048576,DIARIO!D$8,FATURAMENTO!$I$8:$I$1048576,DIARIO!C221)</f>
        <v>0</v>
      </c>
      <c r="E221" s="18">
        <f ca="1">SUMIFS(FATURAMENTO!$H$8:$H$1048576,FATURAMENTO!$M$8:$M$1048576,DIARIO!E$8,FATURAMENTO!$I$8:$I$1048576,C221)</f>
        <v>0</v>
      </c>
    </row>
    <row r="222" spans="2:5">
      <c r="B222" s="22" t="str">
        <f t="shared" si="3"/>
        <v>domingo</v>
      </c>
      <c r="C222" s="16">
        <v>46236</v>
      </c>
      <c r="D222" s="18">
        <f ca="1">SUMIFS(FATURAMENTO!$H$8:$H$1048576,FATURAMENTO!$M$8:$M$1048576,DIARIO!D$8,FATURAMENTO!$I$8:$I$1048576,DIARIO!C222)</f>
        <v>0</v>
      </c>
      <c r="E222" s="18">
        <f ca="1">SUMIFS(FATURAMENTO!$H$8:$H$1048576,FATURAMENTO!$M$8:$M$1048576,DIARIO!E$8,FATURAMENTO!$I$8:$I$1048576,C222)</f>
        <v>0</v>
      </c>
    </row>
    <row r="223" spans="2:5">
      <c r="B223" s="22" t="str">
        <f t="shared" si="3"/>
        <v>segunda-feira</v>
      </c>
      <c r="C223" s="16">
        <v>46237</v>
      </c>
      <c r="D223" s="18">
        <f ca="1">SUMIFS(FATURAMENTO!$H$8:$H$1048576,FATURAMENTO!$M$8:$M$1048576,DIARIO!D$8,FATURAMENTO!$I$8:$I$1048576,DIARIO!C223)</f>
        <v>0</v>
      </c>
      <c r="E223" s="18">
        <f ca="1">SUMIFS(FATURAMENTO!$H$8:$H$1048576,FATURAMENTO!$M$8:$M$1048576,DIARIO!E$8,FATURAMENTO!$I$8:$I$1048576,C223)</f>
        <v>0</v>
      </c>
    </row>
    <row r="224" spans="2:5">
      <c r="B224" s="22" t="str">
        <f t="shared" si="3"/>
        <v>terça-feira</v>
      </c>
      <c r="C224" s="16">
        <v>46238</v>
      </c>
      <c r="D224" s="18">
        <f ca="1">SUMIFS(FATURAMENTO!$H$8:$H$1048576,FATURAMENTO!$M$8:$M$1048576,DIARIO!D$8,FATURAMENTO!$I$8:$I$1048576,DIARIO!C224)</f>
        <v>0</v>
      </c>
      <c r="E224" s="18">
        <f ca="1">SUMIFS(FATURAMENTO!$H$8:$H$1048576,FATURAMENTO!$M$8:$M$1048576,DIARIO!E$8,FATURAMENTO!$I$8:$I$1048576,C224)</f>
        <v>0</v>
      </c>
    </row>
    <row r="225" spans="2:5">
      <c r="B225" s="22" t="str">
        <f t="shared" si="3"/>
        <v>quarta-feira</v>
      </c>
      <c r="C225" s="16">
        <v>46239</v>
      </c>
      <c r="D225" s="18">
        <f ca="1">SUMIFS(FATURAMENTO!$H$8:$H$1048576,FATURAMENTO!$M$8:$M$1048576,DIARIO!D$8,FATURAMENTO!$I$8:$I$1048576,DIARIO!C225)</f>
        <v>0</v>
      </c>
      <c r="E225" s="18">
        <f ca="1">SUMIFS(FATURAMENTO!$H$8:$H$1048576,FATURAMENTO!$M$8:$M$1048576,DIARIO!E$8,FATURAMENTO!$I$8:$I$1048576,C225)</f>
        <v>0</v>
      </c>
    </row>
    <row r="226" spans="2:5">
      <c r="B226" s="22" t="str">
        <f t="shared" si="3"/>
        <v>quinta-feira</v>
      </c>
      <c r="C226" s="16">
        <v>46240</v>
      </c>
      <c r="D226" s="18">
        <f ca="1">SUMIFS(FATURAMENTO!$H$8:$H$1048576,FATURAMENTO!$M$8:$M$1048576,DIARIO!D$8,FATURAMENTO!$I$8:$I$1048576,DIARIO!C226)</f>
        <v>0</v>
      </c>
      <c r="E226" s="18">
        <f ca="1">SUMIFS(FATURAMENTO!$H$8:$H$1048576,FATURAMENTO!$M$8:$M$1048576,DIARIO!E$8,FATURAMENTO!$I$8:$I$1048576,C226)</f>
        <v>0</v>
      </c>
    </row>
    <row r="227" spans="2:5">
      <c r="B227" s="22" t="str">
        <f t="shared" si="3"/>
        <v>sexta-feira</v>
      </c>
      <c r="C227" s="16">
        <v>46241</v>
      </c>
      <c r="D227" s="18">
        <f ca="1">SUMIFS(FATURAMENTO!$H$8:$H$1048576,FATURAMENTO!$M$8:$M$1048576,DIARIO!D$8,FATURAMENTO!$I$8:$I$1048576,DIARIO!C227)</f>
        <v>0</v>
      </c>
      <c r="E227" s="18">
        <f ca="1">SUMIFS(FATURAMENTO!$H$8:$H$1048576,FATURAMENTO!$M$8:$M$1048576,DIARIO!E$8,FATURAMENTO!$I$8:$I$1048576,C227)</f>
        <v>0</v>
      </c>
    </row>
    <row r="228" spans="2:5">
      <c r="B228" s="22" t="str">
        <f t="shared" si="3"/>
        <v>sábado</v>
      </c>
      <c r="C228" s="16">
        <v>46242</v>
      </c>
      <c r="D228" s="18">
        <f ca="1">SUMIFS(FATURAMENTO!$H$8:$H$1048576,FATURAMENTO!$M$8:$M$1048576,DIARIO!D$8,FATURAMENTO!$I$8:$I$1048576,DIARIO!C228)</f>
        <v>0</v>
      </c>
      <c r="E228" s="18">
        <f ca="1">SUMIFS(FATURAMENTO!$H$8:$H$1048576,FATURAMENTO!$M$8:$M$1048576,DIARIO!E$8,FATURAMENTO!$I$8:$I$1048576,C228)</f>
        <v>0</v>
      </c>
    </row>
    <row r="229" spans="2:5">
      <c r="B229" s="22" t="str">
        <f t="shared" si="3"/>
        <v>domingo</v>
      </c>
      <c r="C229" s="16">
        <v>46243</v>
      </c>
      <c r="D229" s="18">
        <f ca="1">SUMIFS(FATURAMENTO!$H$8:$H$1048576,FATURAMENTO!$M$8:$M$1048576,DIARIO!D$8,FATURAMENTO!$I$8:$I$1048576,DIARIO!C229)</f>
        <v>0</v>
      </c>
      <c r="E229" s="18">
        <f ca="1">SUMIFS(FATURAMENTO!$H$8:$H$1048576,FATURAMENTO!$M$8:$M$1048576,DIARIO!E$8,FATURAMENTO!$I$8:$I$1048576,C229)</f>
        <v>0</v>
      </c>
    </row>
    <row r="230" spans="2:5">
      <c r="B230" s="22" t="str">
        <f t="shared" si="3"/>
        <v>segunda-feira</v>
      </c>
      <c r="C230" s="16">
        <v>46244</v>
      </c>
      <c r="D230" s="18">
        <f ca="1">SUMIFS(FATURAMENTO!$H$8:$H$1048576,FATURAMENTO!$M$8:$M$1048576,DIARIO!D$8,FATURAMENTO!$I$8:$I$1048576,DIARIO!C230)</f>
        <v>0</v>
      </c>
      <c r="E230" s="18">
        <f ca="1">SUMIFS(FATURAMENTO!$H$8:$H$1048576,FATURAMENTO!$M$8:$M$1048576,DIARIO!E$8,FATURAMENTO!$I$8:$I$1048576,C230)</f>
        <v>0</v>
      </c>
    </row>
    <row r="231" spans="2:5">
      <c r="B231" s="22" t="str">
        <f t="shared" si="3"/>
        <v>terça-feira</v>
      </c>
      <c r="C231" s="16">
        <v>46245</v>
      </c>
      <c r="D231" s="18">
        <f ca="1">SUMIFS(FATURAMENTO!$H$8:$H$1048576,FATURAMENTO!$M$8:$M$1048576,DIARIO!D$8,FATURAMENTO!$I$8:$I$1048576,DIARIO!C231)</f>
        <v>0</v>
      </c>
      <c r="E231" s="18">
        <f ca="1">SUMIFS(FATURAMENTO!$H$8:$H$1048576,FATURAMENTO!$M$8:$M$1048576,DIARIO!E$8,FATURAMENTO!$I$8:$I$1048576,C231)</f>
        <v>0</v>
      </c>
    </row>
    <row r="232" spans="2:5">
      <c r="B232" s="22" t="str">
        <f t="shared" si="3"/>
        <v>quarta-feira</v>
      </c>
      <c r="C232" s="16">
        <v>46246</v>
      </c>
      <c r="D232" s="18">
        <f ca="1">SUMIFS(FATURAMENTO!$H$8:$H$1048576,FATURAMENTO!$M$8:$M$1048576,DIARIO!D$8,FATURAMENTO!$I$8:$I$1048576,DIARIO!C232)</f>
        <v>0</v>
      </c>
      <c r="E232" s="18">
        <f ca="1">SUMIFS(FATURAMENTO!$H$8:$H$1048576,FATURAMENTO!$M$8:$M$1048576,DIARIO!E$8,FATURAMENTO!$I$8:$I$1048576,C232)</f>
        <v>0</v>
      </c>
    </row>
    <row r="233" spans="2:5">
      <c r="B233" s="22" t="str">
        <f t="shared" si="3"/>
        <v>quinta-feira</v>
      </c>
      <c r="C233" s="16">
        <v>46247</v>
      </c>
      <c r="D233" s="18">
        <f ca="1">SUMIFS(FATURAMENTO!$H$8:$H$1048576,FATURAMENTO!$M$8:$M$1048576,DIARIO!D$8,FATURAMENTO!$I$8:$I$1048576,DIARIO!C233)</f>
        <v>0</v>
      </c>
      <c r="E233" s="18">
        <f ca="1">SUMIFS(FATURAMENTO!$H$8:$H$1048576,FATURAMENTO!$M$8:$M$1048576,DIARIO!E$8,FATURAMENTO!$I$8:$I$1048576,C233)</f>
        <v>0</v>
      </c>
    </row>
    <row r="234" spans="2:5">
      <c r="B234" s="22" t="str">
        <f t="shared" si="3"/>
        <v>sexta-feira</v>
      </c>
      <c r="C234" s="16">
        <v>46248</v>
      </c>
      <c r="D234" s="18">
        <f ca="1">SUMIFS(FATURAMENTO!$H$8:$H$1048576,FATURAMENTO!$M$8:$M$1048576,DIARIO!D$8,FATURAMENTO!$I$8:$I$1048576,DIARIO!C234)</f>
        <v>0</v>
      </c>
      <c r="E234" s="18">
        <f ca="1">SUMIFS(FATURAMENTO!$H$8:$H$1048576,FATURAMENTO!$M$8:$M$1048576,DIARIO!E$8,FATURAMENTO!$I$8:$I$1048576,C234)</f>
        <v>0</v>
      </c>
    </row>
    <row r="235" spans="2:5">
      <c r="B235" s="22" t="str">
        <f t="shared" si="3"/>
        <v>sábado</v>
      </c>
      <c r="C235" s="16">
        <v>46249</v>
      </c>
      <c r="D235" s="18">
        <f ca="1">SUMIFS(FATURAMENTO!$H$8:$H$1048576,FATURAMENTO!$M$8:$M$1048576,DIARIO!D$8,FATURAMENTO!$I$8:$I$1048576,DIARIO!C235)</f>
        <v>0</v>
      </c>
      <c r="E235" s="18">
        <f ca="1">SUMIFS(FATURAMENTO!$H$8:$H$1048576,FATURAMENTO!$M$8:$M$1048576,DIARIO!E$8,FATURAMENTO!$I$8:$I$1048576,C235)</f>
        <v>0</v>
      </c>
    </row>
    <row r="236" spans="2:5">
      <c r="B236" s="22" t="str">
        <f t="shared" si="3"/>
        <v>domingo</v>
      </c>
      <c r="C236" s="16">
        <v>46250</v>
      </c>
      <c r="D236" s="18">
        <f ca="1">SUMIFS(FATURAMENTO!$H$8:$H$1048576,FATURAMENTO!$M$8:$M$1048576,DIARIO!D$8,FATURAMENTO!$I$8:$I$1048576,DIARIO!C236)</f>
        <v>0</v>
      </c>
      <c r="E236" s="18">
        <f ca="1">SUMIFS(FATURAMENTO!$H$8:$H$1048576,FATURAMENTO!$M$8:$M$1048576,DIARIO!E$8,FATURAMENTO!$I$8:$I$1048576,C236)</f>
        <v>0</v>
      </c>
    </row>
    <row r="237" spans="2:5">
      <c r="B237" s="22" t="str">
        <f t="shared" si="3"/>
        <v>segunda-feira</v>
      </c>
      <c r="C237" s="16">
        <v>46251</v>
      </c>
      <c r="D237" s="18">
        <f ca="1">SUMIFS(FATURAMENTO!$H$8:$H$1048576,FATURAMENTO!$M$8:$M$1048576,DIARIO!D$8,FATURAMENTO!$I$8:$I$1048576,DIARIO!C237)</f>
        <v>0</v>
      </c>
      <c r="E237" s="18">
        <f ca="1">SUMIFS(FATURAMENTO!$H$8:$H$1048576,FATURAMENTO!$M$8:$M$1048576,DIARIO!E$8,FATURAMENTO!$I$8:$I$1048576,C237)</f>
        <v>0</v>
      </c>
    </row>
    <row r="238" spans="2:5">
      <c r="B238" s="22" t="str">
        <f t="shared" si="3"/>
        <v>terça-feira</v>
      </c>
      <c r="C238" s="16">
        <v>46252</v>
      </c>
      <c r="D238" s="18">
        <f ca="1">SUMIFS(FATURAMENTO!$H$8:$H$1048576,FATURAMENTO!$M$8:$M$1048576,DIARIO!D$8,FATURAMENTO!$I$8:$I$1048576,DIARIO!C238)</f>
        <v>0</v>
      </c>
      <c r="E238" s="18">
        <f ca="1">SUMIFS(FATURAMENTO!$H$8:$H$1048576,FATURAMENTO!$M$8:$M$1048576,DIARIO!E$8,FATURAMENTO!$I$8:$I$1048576,C238)</f>
        <v>0</v>
      </c>
    </row>
    <row r="239" spans="2:5">
      <c r="B239" s="22" t="str">
        <f t="shared" si="3"/>
        <v>quarta-feira</v>
      </c>
      <c r="C239" s="16">
        <v>46253</v>
      </c>
      <c r="D239" s="18">
        <f ca="1">SUMIFS(FATURAMENTO!$H$8:$H$1048576,FATURAMENTO!$M$8:$M$1048576,DIARIO!D$8,FATURAMENTO!$I$8:$I$1048576,DIARIO!C239)</f>
        <v>0</v>
      </c>
      <c r="E239" s="18">
        <f ca="1">SUMIFS(FATURAMENTO!$H$8:$H$1048576,FATURAMENTO!$M$8:$M$1048576,DIARIO!E$8,FATURAMENTO!$I$8:$I$1048576,C239)</f>
        <v>0</v>
      </c>
    </row>
    <row r="240" spans="2:5">
      <c r="B240" s="22" t="str">
        <f t="shared" si="3"/>
        <v>quinta-feira</v>
      </c>
      <c r="C240" s="16">
        <v>46254</v>
      </c>
      <c r="D240" s="18">
        <f ca="1">SUMIFS(FATURAMENTO!$H$8:$H$1048576,FATURAMENTO!$M$8:$M$1048576,DIARIO!D$8,FATURAMENTO!$I$8:$I$1048576,DIARIO!C240)</f>
        <v>0</v>
      </c>
      <c r="E240" s="18">
        <f ca="1">SUMIFS(FATURAMENTO!$H$8:$H$1048576,FATURAMENTO!$M$8:$M$1048576,DIARIO!E$8,FATURAMENTO!$I$8:$I$1048576,C240)</f>
        <v>0</v>
      </c>
    </row>
    <row r="241" spans="2:5">
      <c r="B241" s="22" t="str">
        <f t="shared" si="3"/>
        <v>sexta-feira</v>
      </c>
      <c r="C241" s="16">
        <v>46255</v>
      </c>
      <c r="D241" s="18">
        <f ca="1">SUMIFS(FATURAMENTO!$H$8:$H$1048576,FATURAMENTO!$M$8:$M$1048576,DIARIO!D$8,FATURAMENTO!$I$8:$I$1048576,DIARIO!C241)</f>
        <v>0</v>
      </c>
      <c r="E241" s="18">
        <f ca="1">SUMIFS(FATURAMENTO!$H$8:$H$1048576,FATURAMENTO!$M$8:$M$1048576,DIARIO!E$8,FATURAMENTO!$I$8:$I$1048576,C241)</f>
        <v>0</v>
      </c>
    </row>
    <row r="242" spans="2:5">
      <c r="B242" s="22" t="str">
        <f t="shared" si="3"/>
        <v>sábado</v>
      </c>
      <c r="C242" s="16">
        <v>46256</v>
      </c>
      <c r="D242" s="18">
        <f ca="1">SUMIFS(FATURAMENTO!$H$8:$H$1048576,FATURAMENTO!$M$8:$M$1048576,DIARIO!D$8,FATURAMENTO!$I$8:$I$1048576,DIARIO!C242)</f>
        <v>0</v>
      </c>
      <c r="E242" s="18">
        <f ca="1">SUMIFS(FATURAMENTO!$H$8:$H$1048576,FATURAMENTO!$M$8:$M$1048576,DIARIO!E$8,FATURAMENTO!$I$8:$I$1048576,C242)</f>
        <v>0</v>
      </c>
    </row>
    <row r="243" spans="2:5">
      <c r="B243" s="22" t="str">
        <f t="shared" si="3"/>
        <v>domingo</v>
      </c>
      <c r="C243" s="16">
        <v>46257</v>
      </c>
      <c r="D243" s="18">
        <f ca="1">SUMIFS(FATURAMENTO!$H$8:$H$1048576,FATURAMENTO!$M$8:$M$1048576,DIARIO!D$8,FATURAMENTO!$I$8:$I$1048576,DIARIO!C243)</f>
        <v>0</v>
      </c>
      <c r="E243" s="18">
        <f ca="1">SUMIFS(FATURAMENTO!$H$8:$H$1048576,FATURAMENTO!$M$8:$M$1048576,DIARIO!E$8,FATURAMENTO!$I$8:$I$1048576,C243)</f>
        <v>0</v>
      </c>
    </row>
    <row r="244" spans="2:5">
      <c r="B244" s="22" t="str">
        <f t="shared" si="3"/>
        <v>segunda-feira</v>
      </c>
      <c r="C244" s="16">
        <v>46258</v>
      </c>
      <c r="D244" s="18">
        <f ca="1">SUMIFS(FATURAMENTO!$H$8:$H$1048576,FATURAMENTO!$M$8:$M$1048576,DIARIO!D$8,FATURAMENTO!$I$8:$I$1048576,DIARIO!C244)</f>
        <v>0</v>
      </c>
      <c r="E244" s="18">
        <f ca="1">SUMIFS(FATURAMENTO!$H$8:$H$1048576,FATURAMENTO!$M$8:$M$1048576,DIARIO!E$8,FATURAMENTO!$I$8:$I$1048576,C244)</f>
        <v>0</v>
      </c>
    </row>
    <row r="245" spans="2:5">
      <c r="B245" s="22" t="str">
        <f t="shared" si="3"/>
        <v>terça-feira</v>
      </c>
      <c r="C245" s="16">
        <v>46259</v>
      </c>
      <c r="D245" s="18">
        <f ca="1">SUMIFS(FATURAMENTO!$H$8:$H$1048576,FATURAMENTO!$M$8:$M$1048576,DIARIO!D$8,FATURAMENTO!$I$8:$I$1048576,DIARIO!C245)</f>
        <v>0</v>
      </c>
      <c r="E245" s="18">
        <f ca="1">SUMIFS(FATURAMENTO!$H$8:$H$1048576,FATURAMENTO!$M$8:$M$1048576,DIARIO!E$8,FATURAMENTO!$I$8:$I$1048576,C245)</f>
        <v>0</v>
      </c>
    </row>
    <row r="246" spans="2:5">
      <c r="B246" s="22" t="str">
        <f t="shared" si="3"/>
        <v>quarta-feira</v>
      </c>
      <c r="C246" s="16">
        <v>46260</v>
      </c>
      <c r="D246" s="18">
        <f ca="1">SUMIFS(FATURAMENTO!$H$8:$H$1048576,FATURAMENTO!$M$8:$M$1048576,DIARIO!D$8,FATURAMENTO!$I$8:$I$1048576,DIARIO!C246)</f>
        <v>0</v>
      </c>
      <c r="E246" s="18">
        <f ca="1">SUMIFS(FATURAMENTO!$H$8:$H$1048576,FATURAMENTO!$M$8:$M$1048576,DIARIO!E$8,FATURAMENTO!$I$8:$I$1048576,C246)</f>
        <v>0</v>
      </c>
    </row>
    <row r="247" spans="2:5">
      <c r="B247" s="22" t="str">
        <f t="shared" si="3"/>
        <v>quinta-feira</v>
      </c>
      <c r="C247" s="16">
        <v>46261</v>
      </c>
      <c r="D247" s="18">
        <f ca="1">SUMIFS(FATURAMENTO!$H$8:$H$1048576,FATURAMENTO!$M$8:$M$1048576,DIARIO!D$8,FATURAMENTO!$I$8:$I$1048576,DIARIO!C247)</f>
        <v>0</v>
      </c>
      <c r="E247" s="18">
        <f ca="1">SUMIFS(FATURAMENTO!$H$8:$H$1048576,FATURAMENTO!$M$8:$M$1048576,DIARIO!E$8,FATURAMENTO!$I$8:$I$1048576,C247)</f>
        <v>0</v>
      </c>
    </row>
    <row r="248" spans="2:5">
      <c r="B248" s="22" t="str">
        <f t="shared" si="3"/>
        <v>sexta-feira</v>
      </c>
      <c r="C248" s="16">
        <v>46262</v>
      </c>
      <c r="D248" s="18">
        <f ca="1">SUMIFS(FATURAMENTO!$H$8:$H$1048576,FATURAMENTO!$M$8:$M$1048576,DIARIO!D$8,FATURAMENTO!$I$8:$I$1048576,DIARIO!C248)</f>
        <v>0</v>
      </c>
      <c r="E248" s="18">
        <f ca="1">SUMIFS(FATURAMENTO!$H$8:$H$1048576,FATURAMENTO!$M$8:$M$1048576,DIARIO!E$8,FATURAMENTO!$I$8:$I$1048576,C248)</f>
        <v>0</v>
      </c>
    </row>
    <row r="249" spans="2:5">
      <c r="B249" s="22" t="str">
        <f t="shared" si="3"/>
        <v>sábado</v>
      </c>
      <c r="C249" s="16">
        <v>46263</v>
      </c>
      <c r="D249" s="18">
        <f ca="1">SUMIFS(FATURAMENTO!$H$8:$H$1048576,FATURAMENTO!$M$8:$M$1048576,DIARIO!D$8,FATURAMENTO!$I$8:$I$1048576,DIARIO!C249)</f>
        <v>0</v>
      </c>
      <c r="E249" s="18">
        <f ca="1">SUMIFS(FATURAMENTO!$H$8:$H$1048576,FATURAMENTO!$M$8:$M$1048576,DIARIO!E$8,FATURAMENTO!$I$8:$I$1048576,C249)</f>
        <v>0</v>
      </c>
    </row>
    <row r="250" spans="2:5">
      <c r="B250" s="22" t="str">
        <f t="shared" si="3"/>
        <v>domingo</v>
      </c>
      <c r="C250" s="16">
        <v>46264</v>
      </c>
      <c r="D250" s="18">
        <f ca="1">SUMIFS(FATURAMENTO!$H$8:$H$1048576,FATURAMENTO!$M$8:$M$1048576,DIARIO!D$8,FATURAMENTO!$I$8:$I$1048576,DIARIO!C250)</f>
        <v>0</v>
      </c>
      <c r="E250" s="18">
        <f ca="1">SUMIFS(FATURAMENTO!$H$8:$H$1048576,FATURAMENTO!$M$8:$M$1048576,DIARIO!E$8,FATURAMENTO!$I$8:$I$1048576,C250)</f>
        <v>0</v>
      </c>
    </row>
    <row r="251" spans="2:5">
      <c r="B251" s="22" t="str">
        <f t="shared" si="3"/>
        <v>segunda-feira</v>
      </c>
      <c r="C251" s="16">
        <v>46265</v>
      </c>
      <c r="D251" s="18">
        <f ca="1">SUMIFS(FATURAMENTO!$H$8:$H$1048576,FATURAMENTO!$M$8:$M$1048576,DIARIO!D$8,FATURAMENTO!$I$8:$I$1048576,DIARIO!C251)</f>
        <v>0</v>
      </c>
      <c r="E251" s="18">
        <f ca="1">SUMIFS(FATURAMENTO!$H$8:$H$1048576,FATURAMENTO!$M$8:$M$1048576,DIARIO!E$8,FATURAMENTO!$I$8:$I$1048576,C251)</f>
        <v>0</v>
      </c>
    </row>
    <row r="252" spans="2:5">
      <c r="B252" s="22" t="str">
        <f t="shared" si="3"/>
        <v>terça-feira</v>
      </c>
      <c r="C252" s="16">
        <v>46266</v>
      </c>
      <c r="D252" s="18">
        <f ca="1">SUMIFS(FATURAMENTO!$H$8:$H$1048576,FATURAMENTO!$M$8:$M$1048576,DIARIO!D$8,FATURAMENTO!$I$8:$I$1048576,DIARIO!C252)</f>
        <v>0</v>
      </c>
      <c r="E252" s="18">
        <f ca="1">SUMIFS(FATURAMENTO!$H$8:$H$1048576,FATURAMENTO!$M$8:$M$1048576,DIARIO!E$8,FATURAMENTO!$I$8:$I$1048576,C252)</f>
        <v>0</v>
      </c>
    </row>
    <row r="253" spans="2:5">
      <c r="B253" s="22" t="str">
        <f t="shared" si="3"/>
        <v>quarta-feira</v>
      </c>
      <c r="C253" s="16">
        <v>46267</v>
      </c>
      <c r="D253" s="18">
        <f ca="1">SUMIFS(FATURAMENTO!$H$8:$H$1048576,FATURAMENTO!$M$8:$M$1048576,DIARIO!D$8,FATURAMENTO!$I$8:$I$1048576,DIARIO!C253)</f>
        <v>0</v>
      </c>
      <c r="E253" s="18">
        <f ca="1">SUMIFS(FATURAMENTO!$H$8:$H$1048576,FATURAMENTO!$M$8:$M$1048576,DIARIO!E$8,FATURAMENTO!$I$8:$I$1048576,C253)</f>
        <v>0</v>
      </c>
    </row>
    <row r="254" spans="2:5">
      <c r="B254" s="22" t="str">
        <f t="shared" si="3"/>
        <v>quinta-feira</v>
      </c>
      <c r="C254" s="16">
        <v>46268</v>
      </c>
      <c r="D254" s="18">
        <f ca="1">SUMIFS(FATURAMENTO!$H$8:$H$1048576,FATURAMENTO!$M$8:$M$1048576,DIARIO!D$8,FATURAMENTO!$I$8:$I$1048576,DIARIO!C254)</f>
        <v>0</v>
      </c>
      <c r="E254" s="18">
        <f ca="1">SUMIFS(FATURAMENTO!$H$8:$H$1048576,FATURAMENTO!$M$8:$M$1048576,DIARIO!E$8,FATURAMENTO!$I$8:$I$1048576,C254)</f>
        <v>0</v>
      </c>
    </row>
    <row r="255" spans="2:5">
      <c r="B255" s="22" t="str">
        <f t="shared" si="3"/>
        <v>sexta-feira</v>
      </c>
      <c r="C255" s="16">
        <v>46269</v>
      </c>
      <c r="D255" s="18">
        <f ca="1">SUMIFS(FATURAMENTO!$H$8:$H$1048576,FATURAMENTO!$M$8:$M$1048576,DIARIO!D$8,FATURAMENTO!$I$8:$I$1048576,DIARIO!C255)</f>
        <v>0</v>
      </c>
      <c r="E255" s="18">
        <f ca="1">SUMIFS(FATURAMENTO!$H$8:$H$1048576,FATURAMENTO!$M$8:$M$1048576,DIARIO!E$8,FATURAMENTO!$I$8:$I$1048576,C255)</f>
        <v>0</v>
      </c>
    </row>
    <row r="256" spans="2:5">
      <c r="B256" s="22" t="str">
        <f t="shared" si="3"/>
        <v>sábado</v>
      </c>
      <c r="C256" s="16">
        <v>46270</v>
      </c>
      <c r="D256" s="18">
        <f ca="1">SUMIFS(FATURAMENTO!$H$8:$H$1048576,FATURAMENTO!$M$8:$M$1048576,DIARIO!D$8,FATURAMENTO!$I$8:$I$1048576,DIARIO!C256)</f>
        <v>0</v>
      </c>
      <c r="E256" s="18">
        <f ca="1">SUMIFS(FATURAMENTO!$H$8:$H$1048576,FATURAMENTO!$M$8:$M$1048576,DIARIO!E$8,FATURAMENTO!$I$8:$I$1048576,C256)</f>
        <v>0</v>
      </c>
    </row>
    <row r="257" spans="2:5">
      <c r="B257" s="22" t="str">
        <f t="shared" si="3"/>
        <v>domingo</v>
      </c>
      <c r="C257" s="16">
        <v>46271</v>
      </c>
      <c r="D257" s="18">
        <f ca="1">SUMIFS(FATURAMENTO!$H$8:$H$1048576,FATURAMENTO!$M$8:$M$1048576,DIARIO!D$8,FATURAMENTO!$I$8:$I$1048576,DIARIO!C257)</f>
        <v>0</v>
      </c>
      <c r="E257" s="18">
        <f ca="1">SUMIFS(FATURAMENTO!$H$8:$H$1048576,FATURAMENTO!$M$8:$M$1048576,DIARIO!E$8,FATURAMENTO!$I$8:$I$1048576,C257)</f>
        <v>0</v>
      </c>
    </row>
    <row r="258" spans="2:5">
      <c r="B258" s="22" t="str">
        <f t="shared" si="3"/>
        <v>segunda-feira</v>
      </c>
      <c r="C258" s="16">
        <v>46272</v>
      </c>
      <c r="D258" s="18">
        <f ca="1">SUMIFS(FATURAMENTO!$H$8:$H$1048576,FATURAMENTO!$M$8:$M$1048576,DIARIO!D$8,FATURAMENTO!$I$8:$I$1048576,DIARIO!C258)</f>
        <v>0</v>
      </c>
      <c r="E258" s="18">
        <f ca="1">SUMIFS(FATURAMENTO!$H$8:$H$1048576,FATURAMENTO!$M$8:$M$1048576,DIARIO!E$8,FATURAMENTO!$I$8:$I$1048576,C258)</f>
        <v>0</v>
      </c>
    </row>
    <row r="259" spans="2:5">
      <c r="B259" s="22" t="str">
        <f t="shared" si="3"/>
        <v>terça-feira</v>
      </c>
      <c r="C259" s="16">
        <v>46273</v>
      </c>
      <c r="D259" s="18">
        <f ca="1">SUMIFS(FATURAMENTO!$H$8:$H$1048576,FATURAMENTO!$M$8:$M$1048576,DIARIO!D$8,FATURAMENTO!$I$8:$I$1048576,DIARIO!C259)</f>
        <v>0</v>
      </c>
      <c r="E259" s="18">
        <f ca="1">SUMIFS(FATURAMENTO!$H$8:$H$1048576,FATURAMENTO!$M$8:$M$1048576,DIARIO!E$8,FATURAMENTO!$I$8:$I$1048576,C259)</f>
        <v>0</v>
      </c>
    </row>
    <row r="260" spans="2:5">
      <c r="B260" s="22" t="str">
        <f t="shared" si="3"/>
        <v>quarta-feira</v>
      </c>
      <c r="C260" s="16">
        <v>46274</v>
      </c>
      <c r="D260" s="18">
        <f ca="1">SUMIFS(FATURAMENTO!$H$8:$H$1048576,FATURAMENTO!$M$8:$M$1048576,DIARIO!D$8,FATURAMENTO!$I$8:$I$1048576,DIARIO!C260)</f>
        <v>0</v>
      </c>
      <c r="E260" s="18">
        <f ca="1">SUMIFS(FATURAMENTO!$H$8:$H$1048576,FATURAMENTO!$M$8:$M$1048576,DIARIO!E$8,FATURAMENTO!$I$8:$I$1048576,C260)</f>
        <v>0</v>
      </c>
    </row>
    <row r="261" spans="2:5">
      <c r="B261" s="22" t="str">
        <f t="shared" si="3"/>
        <v>quinta-feira</v>
      </c>
      <c r="C261" s="16">
        <v>46275</v>
      </c>
      <c r="D261" s="18">
        <f ca="1">SUMIFS(FATURAMENTO!$H$8:$H$1048576,FATURAMENTO!$M$8:$M$1048576,DIARIO!D$8,FATURAMENTO!$I$8:$I$1048576,DIARIO!C261)</f>
        <v>0</v>
      </c>
      <c r="E261" s="18">
        <f ca="1">SUMIFS(FATURAMENTO!$H$8:$H$1048576,FATURAMENTO!$M$8:$M$1048576,DIARIO!E$8,FATURAMENTO!$I$8:$I$1048576,C261)</f>
        <v>0</v>
      </c>
    </row>
    <row r="262" spans="2:5">
      <c r="B262" s="22" t="str">
        <f t="shared" si="3"/>
        <v>sexta-feira</v>
      </c>
      <c r="C262" s="16">
        <v>46276</v>
      </c>
      <c r="D262" s="18">
        <f ca="1">SUMIFS(FATURAMENTO!$H$8:$H$1048576,FATURAMENTO!$M$8:$M$1048576,DIARIO!D$8,FATURAMENTO!$I$8:$I$1048576,DIARIO!C262)</f>
        <v>0</v>
      </c>
      <c r="E262" s="18">
        <f ca="1">SUMIFS(FATURAMENTO!$H$8:$H$1048576,FATURAMENTO!$M$8:$M$1048576,DIARIO!E$8,FATURAMENTO!$I$8:$I$1048576,C262)</f>
        <v>0</v>
      </c>
    </row>
    <row r="263" spans="2:5">
      <c r="B263" s="22" t="str">
        <f t="shared" si="3"/>
        <v>sábado</v>
      </c>
      <c r="C263" s="16">
        <v>46277</v>
      </c>
      <c r="D263" s="18">
        <f ca="1">SUMIFS(FATURAMENTO!$H$8:$H$1048576,FATURAMENTO!$M$8:$M$1048576,DIARIO!D$8,FATURAMENTO!$I$8:$I$1048576,DIARIO!C263)</f>
        <v>0</v>
      </c>
      <c r="E263" s="18">
        <f ca="1">SUMIFS(FATURAMENTO!$H$8:$H$1048576,FATURAMENTO!$M$8:$M$1048576,DIARIO!E$8,FATURAMENTO!$I$8:$I$1048576,C263)</f>
        <v>0</v>
      </c>
    </row>
    <row r="264" spans="2:5">
      <c r="B264" s="22" t="str">
        <f t="shared" si="3"/>
        <v>domingo</v>
      </c>
      <c r="C264" s="16">
        <v>46278</v>
      </c>
      <c r="D264" s="18">
        <f ca="1">SUMIFS(FATURAMENTO!$H$8:$H$1048576,FATURAMENTO!$M$8:$M$1048576,DIARIO!D$8,FATURAMENTO!$I$8:$I$1048576,DIARIO!C264)</f>
        <v>0</v>
      </c>
      <c r="E264" s="18">
        <f ca="1">SUMIFS(FATURAMENTO!$H$8:$H$1048576,FATURAMENTO!$M$8:$M$1048576,DIARIO!E$8,FATURAMENTO!$I$8:$I$1048576,C264)</f>
        <v>0</v>
      </c>
    </row>
    <row r="265" spans="2:5">
      <c r="B265" s="22" t="str">
        <f t="shared" ref="B265:B328" si="4">TEXT(C265,"dddd")</f>
        <v>segunda-feira</v>
      </c>
      <c r="C265" s="16">
        <v>46279</v>
      </c>
      <c r="D265" s="18">
        <f ca="1">SUMIFS(FATURAMENTO!$H$8:$H$1048576,FATURAMENTO!$M$8:$M$1048576,DIARIO!D$8,FATURAMENTO!$I$8:$I$1048576,DIARIO!C265)</f>
        <v>0</v>
      </c>
      <c r="E265" s="18">
        <f ca="1">SUMIFS(FATURAMENTO!$H$8:$H$1048576,FATURAMENTO!$M$8:$M$1048576,DIARIO!E$8,FATURAMENTO!$I$8:$I$1048576,C265)</f>
        <v>0</v>
      </c>
    </row>
    <row r="266" spans="2:5">
      <c r="B266" s="22" t="str">
        <f t="shared" si="4"/>
        <v>terça-feira</v>
      </c>
      <c r="C266" s="16">
        <v>46280</v>
      </c>
      <c r="D266" s="18">
        <f ca="1">SUMIFS(FATURAMENTO!$H$8:$H$1048576,FATURAMENTO!$M$8:$M$1048576,DIARIO!D$8,FATURAMENTO!$I$8:$I$1048576,DIARIO!C266)</f>
        <v>0</v>
      </c>
      <c r="E266" s="18">
        <f ca="1">SUMIFS(FATURAMENTO!$H$8:$H$1048576,FATURAMENTO!$M$8:$M$1048576,DIARIO!E$8,FATURAMENTO!$I$8:$I$1048576,C266)</f>
        <v>0</v>
      </c>
    </row>
    <row r="267" spans="2:5">
      <c r="B267" s="22" t="str">
        <f t="shared" si="4"/>
        <v>quarta-feira</v>
      </c>
      <c r="C267" s="16">
        <v>46281</v>
      </c>
      <c r="D267" s="18">
        <f ca="1">SUMIFS(FATURAMENTO!$H$8:$H$1048576,FATURAMENTO!$M$8:$M$1048576,DIARIO!D$8,FATURAMENTO!$I$8:$I$1048576,DIARIO!C267)</f>
        <v>0</v>
      </c>
      <c r="E267" s="18">
        <f ca="1">SUMIFS(FATURAMENTO!$H$8:$H$1048576,FATURAMENTO!$M$8:$M$1048576,DIARIO!E$8,FATURAMENTO!$I$8:$I$1048576,C267)</f>
        <v>0</v>
      </c>
    </row>
    <row r="268" spans="2:5">
      <c r="B268" s="22" t="str">
        <f t="shared" si="4"/>
        <v>quinta-feira</v>
      </c>
      <c r="C268" s="16">
        <v>46282</v>
      </c>
      <c r="D268" s="18">
        <f ca="1">SUMIFS(FATURAMENTO!$H$8:$H$1048576,FATURAMENTO!$M$8:$M$1048576,DIARIO!D$8,FATURAMENTO!$I$8:$I$1048576,DIARIO!C268)</f>
        <v>0</v>
      </c>
      <c r="E268" s="18">
        <f ca="1">SUMIFS(FATURAMENTO!$H$8:$H$1048576,FATURAMENTO!$M$8:$M$1048576,DIARIO!E$8,FATURAMENTO!$I$8:$I$1048576,C268)</f>
        <v>0</v>
      </c>
    </row>
    <row r="269" spans="2:5">
      <c r="B269" s="22" t="str">
        <f t="shared" si="4"/>
        <v>sexta-feira</v>
      </c>
      <c r="C269" s="16">
        <v>46283</v>
      </c>
      <c r="D269" s="18">
        <f ca="1">SUMIFS(FATURAMENTO!$H$8:$H$1048576,FATURAMENTO!$M$8:$M$1048576,DIARIO!D$8,FATURAMENTO!$I$8:$I$1048576,DIARIO!C269)</f>
        <v>0</v>
      </c>
      <c r="E269" s="18">
        <f ca="1">SUMIFS(FATURAMENTO!$H$8:$H$1048576,FATURAMENTO!$M$8:$M$1048576,DIARIO!E$8,FATURAMENTO!$I$8:$I$1048576,C269)</f>
        <v>0</v>
      </c>
    </row>
    <row r="270" spans="2:5">
      <c r="B270" s="22" t="str">
        <f t="shared" si="4"/>
        <v>sábado</v>
      </c>
      <c r="C270" s="16">
        <v>46284</v>
      </c>
      <c r="D270" s="18">
        <f ca="1">SUMIFS(FATURAMENTO!$H$8:$H$1048576,FATURAMENTO!$M$8:$M$1048576,DIARIO!D$8,FATURAMENTO!$I$8:$I$1048576,DIARIO!C270)</f>
        <v>0</v>
      </c>
      <c r="E270" s="18">
        <f ca="1">SUMIFS(FATURAMENTO!$H$8:$H$1048576,FATURAMENTO!$M$8:$M$1048576,DIARIO!E$8,FATURAMENTO!$I$8:$I$1048576,C270)</f>
        <v>0</v>
      </c>
    </row>
    <row r="271" spans="2:5">
      <c r="B271" s="22" t="str">
        <f t="shared" si="4"/>
        <v>domingo</v>
      </c>
      <c r="C271" s="16">
        <v>46285</v>
      </c>
      <c r="D271" s="18">
        <f ca="1">SUMIFS(FATURAMENTO!$H$8:$H$1048576,FATURAMENTO!$M$8:$M$1048576,DIARIO!D$8,FATURAMENTO!$I$8:$I$1048576,DIARIO!C271)</f>
        <v>0</v>
      </c>
      <c r="E271" s="18">
        <f ca="1">SUMIFS(FATURAMENTO!$H$8:$H$1048576,FATURAMENTO!$M$8:$M$1048576,DIARIO!E$8,FATURAMENTO!$I$8:$I$1048576,C271)</f>
        <v>0</v>
      </c>
    </row>
    <row r="272" spans="2:5">
      <c r="B272" s="22" t="str">
        <f t="shared" si="4"/>
        <v>segunda-feira</v>
      </c>
      <c r="C272" s="16">
        <v>46286</v>
      </c>
      <c r="D272" s="18">
        <f ca="1">SUMIFS(FATURAMENTO!$H$8:$H$1048576,FATURAMENTO!$M$8:$M$1048576,DIARIO!D$8,FATURAMENTO!$I$8:$I$1048576,DIARIO!C272)</f>
        <v>0</v>
      </c>
      <c r="E272" s="18">
        <f ca="1">SUMIFS(FATURAMENTO!$H$8:$H$1048576,FATURAMENTO!$M$8:$M$1048576,DIARIO!E$8,FATURAMENTO!$I$8:$I$1048576,C272)</f>
        <v>0</v>
      </c>
    </row>
    <row r="273" spans="2:5">
      <c r="B273" s="22" t="str">
        <f t="shared" si="4"/>
        <v>terça-feira</v>
      </c>
      <c r="C273" s="16">
        <v>46287</v>
      </c>
      <c r="D273" s="18">
        <f ca="1">SUMIFS(FATURAMENTO!$H$8:$H$1048576,FATURAMENTO!$M$8:$M$1048576,DIARIO!D$8,FATURAMENTO!$I$8:$I$1048576,DIARIO!C273)</f>
        <v>0</v>
      </c>
      <c r="E273" s="18">
        <f ca="1">SUMIFS(FATURAMENTO!$H$8:$H$1048576,FATURAMENTO!$M$8:$M$1048576,DIARIO!E$8,FATURAMENTO!$I$8:$I$1048576,C273)</f>
        <v>0</v>
      </c>
    </row>
    <row r="274" spans="2:5">
      <c r="B274" s="22" t="str">
        <f t="shared" si="4"/>
        <v>quarta-feira</v>
      </c>
      <c r="C274" s="16">
        <v>46288</v>
      </c>
      <c r="D274" s="18">
        <f ca="1">SUMIFS(FATURAMENTO!$H$8:$H$1048576,FATURAMENTO!$M$8:$M$1048576,DIARIO!D$8,FATURAMENTO!$I$8:$I$1048576,DIARIO!C274)</f>
        <v>0</v>
      </c>
      <c r="E274" s="18">
        <f ca="1">SUMIFS(FATURAMENTO!$H$8:$H$1048576,FATURAMENTO!$M$8:$M$1048576,DIARIO!E$8,FATURAMENTO!$I$8:$I$1048576,C274)</f>
        <v>0</v>
      </c>
    </row>
    <row r="275" spans="2:5">
      <c r="B275" s="22" t="str">
        <f t="shared" si="4"/>
        <v>quinta-feira</v>
      </c>
      <c r="C275" s="16">
        <v>46289</v>
      </c>
      <c r="D275" s="18">
        <f ca="1">SUMIFS(FATURAMENTO!$H$8:$H$1048576,FATURAMENTO!$M$8:$M$1048576,DIARIO!D$8,FATURAMENTO!$I$8:$I$1048576,DIARIO!C275)</f>
        <v>0</v>
      </c>
      <c r="E275" s="18">
        <f ca="1">SUMIFS(FATURAMENTO!$H$8:$H$1048576,FATURAMENTO!$M$8:$M$1048576,DIARIO!E$8,FATURAMENTO!$I$8:$I$1048576,C275)</f>
        <v>0</v>
      </c>
    </row>
    <row r="276" spans="2:5">
      <c r="B276" s="22" t="str">
        <f t="shared" si="4"/>
        <v>sexta-feira</v>
      </c>
      <c r="C276" s="16">
        <v>46290</v>
      </c>
      <c r="D276" s="18">
        <f ca="1">SUMIFS(FATURAMENTO!$H$8:$H$1048576,FATURAMENTO!$M$8:$M$1048576,DIARIO!D$8,FATURAMENTO!$I$8:$I$1048576,DIARIO!C276)</f>
        <v>0</v>
      </c>
      <c r="E276" s="18">
        <f ca="1">SUMIFS(FATURAMENTO!$H$8:$H$1048576,FATURAMENTO!$M$8:$M$1048576,DIARIO!E$8,FATURAMENTO!$I$8:$I$1048576,C276)</f>
        <v>0</v>
      </c>
    </row>
    <row r="277" spans="2:5">
      <c r="B277" s="22" t="str">
        <f t="shared" si="4"/>
        <v>sábado</v>
      </c>
      <c r="C277" s="16">
        <v>46291</v>
      </c>
      <c r="D277" s="18">
        <f ca="1">SUMIFS(FATURAMENTO!$H$8:$H$1048576,FATURAMENTO!$M$8:$M$1048576,DIARIO!D$8,FATURAMENTO!$I$8:$I$1048576,DIARIO!C277)</f>
        <v>0</v>
      </c>
      <c r="E277" s="18">
        <f ca="1">SUMIFS(FATURAMENTO!$H$8:$H$1048576,FATURAMENTO!$M$8:$M$1048576,DIARIO!E$8,FATURAMENTO!$I$8:$I$1048576,C277)</f>
        <v>0</v>
      </c>
    </row>
    <row r="278" spans="2:5">
      <c r="B278" s="22" t="str">
        <f t="shared" si="4"/>
        <v>domingo</v>
      </c>
      <c r="C278" s="16">
        <v>46292</v>
      </c>
      <c r="D278" s="18">
        <f ca="1">SUMIFS(FATURAMENTO!$H$8:$H$1048576,FATURAMENTO!$M$8:$M$1048576,DIARIO!D$8,FATURAMENTO!$I$8:$I$1048576,DIARIO!C278)</f>
        <v>0</v>
      </c>
      <c r="E278" s="18">
        <f ca="1">SUMIFS(FATURAMENTO!$H$8:$H$1048576,FATURAMENTO!$M$8:$M$1048576,DIARIO!E$8,FATURAMENTO!$I$8:$I$1048576,C278)</f>
        <v>0</v>
      </c>
    </row>
    <row r="279" spans="2:5">
      <c r="B279" s="22" t="str">
        <f t="shared" si="4"/>
        <v>segunda-feira</v>
      </c>
      <c r="C279" s="16">
        <v>46293</v>
      </c>
      <c r="D279" s="18">
        <f ca="1">SUMIFS(FATURAMENTO!$H$8:$H$1048576,FATURAMENTO!$M$8:$M$1048576,DIARIO!D$8,FATURAMENTO!$I$8:$I$1048576,DIARIO!C279)</f>
        <v>0</v>
      </c>
      <c r="E279" s="18">
        <f ca="1">SUMIFS(FATURAMENTO!$H$8:$H$1048576,FATURAMENTO!$M$8:$M$1048576,DIARIO!E$8,FATURAMENTO!$I$8:$I$1048576,C279)</f>
        <v>0</v>
      </c>
    </row>
    <row r="280" spans="2:5">
      <c r="B280" s="22" t="str">
        <f t="shared" si="4"/>
        <v>terça-feira</v>
      </c>
      <c r="C280" s="16">
        <v>46294</v>
      </c>
      <c r="D280" s="18">
        <f ca="1">SUMIFS(FATURAMENTO!$H$8:$H$1048576,FATURAMENTO!$M$8:$M$1048576,DIARIO!D$8,FATURAMENTO!$I$8:$I$1048576,DIARIO!C280)</f>
        <v>0</v>
      </c>
      <c r="E280" s="18">
        <f ca="1">SUMIFS(FATURAMENTO!$H$8:$H$1048576,FATURAMENTO!$M$8:$M$1048576,DIARIO!E$8,FATURAMENTO!$I$8:$I$1048576,C280)</f>
        <v>0</v>
      </c>
    </row>
    <row r="281" spans="2:5">
      <c r="B281" s="22" t="str">
        <f t="shared" si="4"/>
        <v>quarta-feira</v>
      </c>
      <c r="C281" s="16">
        <v>46295</v>
      </c>
      <c r="D281" s="18">
        <f ca="1">SUMIFS(FATURAMENTO!$H$8:$H$1048576,FATURAMENTO!$M$8:$M$1048576,DIARIO!D$8,FATURAMENTO!$I$8:$I$1048576,DIARIO!C281)</f>
        <v>0</v>
      </c>
      <c r="E281" s="18">
        <f ca="1">SUMIFS(FATURAMENTO!$H$8:$H$1048576,FATURAMENTO!$M$8:$M$1048576,DIARIO!E$8,FATURAMENTO!$I$8:$I$1048576,C281)</f>
        <v>0</v>
      </c>
    </row>
    <row r="282" spans="2:5">
      <c r="B282" s="22" t="str">
        <f t="shared" si="4"/>
        <v>quinta-feira</v>
      </c>
      <c r="C282" s="16">
        <v>46296</v>
      </c>
      <c r="D282" s="18">
        <f ca="1">SUMIFS(FATURAMENTO!$H$8:$H$1048576,FATURAMENTO!$M$8:$M$1048576,DIARIO!D$8,FATURAMENTO!$I$8:$I$1048576,DIARIO!C282)</f>
        <v>0</v>
      </c>
      <c r="E282" s="18">
        <f ca="1">SUMIFS(FATURAMENTO!$H$8:$H$1048576,FATURAMENTO!$M$8:$M$1048576,DIARIO!E$8,FATURAMENTO!$I$8:$I$1048576,C282)</f>
        <v>0</v>
      </c>
    </row>
    <row r="283" spans="2:5">
      <c r="B283" s="22" t="str">
        <f t="shared" si="4"/>
        <v>sexta-feira</v>
      </c>
      <c r="C283" s="16">
        <v>46297</v>
      </c>
      <c r="D283" s="18">
        <f ca="1">SUMIFS(FATURAMENTO!$H$8:$H$1048576,FATURAMENTO!$M$8:$M$1048576,DIARIO!D$8,FATURAMENTO!$I$8:$I$1048576,DIARIO!C283)</f>
        <v>0</v>
      </c>
      <c r="E283" s="18">
        <f ca="1">SUMIFS(FATURAMENTO!$H$8:$H$1048576,FATURAMENTO!$M$8:$M$1048576,DIARIO!E$8,FATURAMENTO!$I$8:$I$1048576,C283)</f>
        <v>0</v>
      </c>
    </row>
    <row r="284" spans="2:5">
      <c r="B284" s="22" t="str">
        <f t="shared" si="4"/>
        <v>sábado</v>
      </c>
      <c r="C284" s="16">
        <v>46298</v>
      </c>
      <c r="D284" s="18">
        <f ca="1">SUMIFS(FATURAMENTO!$H$8:$H$1048576,FATURAMENTO!$M$8:$M$1048576,DIARIO!D$8,FATURAMENTO!$I$8:$I$1048576,DIARIO!C284)</f>
        <v>0</v>
      </c>
      <c r="E284" s="18">
        <f ca="1">SUMIFS(FATURAMENTO!$H$8:$H$1048576,FATURAMENTO!$M$8:$M$1048576,DIARIO!E$8,FATURAMENTO!$I$8:$I$1048576,C284)</f>
        <v>0</v>
      </c>
    </row>
    <row r="285" spans="2:5">
      <c r="B285" s="22" t="str">
        <f t="shared" si="4"/>
        <v>domingo</v>
      </c>
      <c r="C285" s="16">
        <v>46299</v>
      </c>
      <c r="D285" s="18">
        <f ca="1">SUMIFS(FATURAMENTO!$H$8:$H$1048576,FATURAMENTO!$M$8:$M$1048576,DIARIO!D$8,FATURAMENTO!$I$8:$I$1048576,DIARIO!C285)</f>
        <v>0</v>
      </c>
      <c r="E285" s="18">
        <f ca="1">SUMIFS(FATURAMENTO!$H$8:$H$1048576,FATURAMENTO!$M$8:$M$1048576,DIARIO!E$8,FATURAMENTO!$I$8:$I$1048576,C285)</f>
        <v>0</v>
      </c>
    </row>
    <row r="286" spans="2:5">
      <c r="B286" s="22" t="str">
        <f t="shared" si="4"/>
        <v>segunda-feira</v>
      </c>
      <c r="C286" s="16">
        <v>46300</v>
      </c>
      <c r="D286" s="18">
        <f ca="1">SUMIFS(FATURAMENTO!$H$8:$H$1048576,FATURAMENTO!$M$8:$M$1048576,DIARIO!D$8,FATURAMENTO!$I$8:$I$1048576,DIARIO!C286)</f>
        <v>0</v>
      </c>
      <c r="E286" s="18">
        <f ca="1">SUMIFS(FATURAMENTO!$H$8:$H$1048576,FATURAMENTO!$M$8:$M$1048576,DIARIO!E$8,FATURAMENTO!$I$8:$I$1048576,C286)</f>
        <v>0</v>
      </c>
    </row>
    <row r="287" spans="2:5">
      <c r="B287" s="22" t="str">
        <f t="shared" si="4"/>
        <v>terça-feira</v>
      </c>
      <c r="C287" s="16">
        <v>46301</v>
      </c>
      <c r="D287" s="18">
        <f ca="1">SUMIFS(FATURAMENTO!$H$8:$H$1048576,FATURAMENTO!$M$8:$M$1048576,DIARIO!D$8,FATURAMENTO!$I$8:$I$1048576,DIARIO!C287)</f>
        <v>0</v>
      </c>
      <c r="E287" s="18">
        <f ca="1">SUMIFS(FATURAMENTO!$H$8:$H$1048576,FATURAMENTO!$M$8:$M$1048576,DIARIO!E$8,FATURAMENTO!$I$8:$I$1048576,C287)</f>
        <v>0</v>
      </c>
    </row>
    <row r="288" spans="2:5">
      <c r="B288" s="22" t="str">
        <f t="shared" si="4"/>
        <v>quarta-feira</v>
      </c>
      <c r="C288" s="16">
        <v>46302</v>
      </c>
      <c r="D288" s="18">
        <f ca="1">SUMIFS(FATURAMENTO!$H$8:$H$1048576,FATURAMENTO!$M$8:$M$1048576,DIARIO!D$8,FATURAMENTO!$I$8:$I$1048576,DIARIO!C288)</f>
        <v>0</v>
      </c>
      <c r="E288" s="18">
        <f ca="1">SUMIFS(FATURAMENTO!$H$8:$H$1048576,FATURAMENTO!$M$8:$M$1048576,DIARIO!E$8,FATURAMENTO!$I$8:$I$1048576,C288)</f>
        <v>0</v>
      </c>
    </row>
    <row r="289" spans="2:5">
      <c r="B289" s="22" t="str">
        <f t="shared" si="4"/>
        <v>quinta-feira</v>
      </c>
      <c r="C289" s="16">
        <v>46303</v>
      </c>
      <c r="D289" s="18">
        <f ca="1">SUMIFS(FATURAMENTO!$H$8:$H$1048576,FATURAMENTO!$M$8:$M$1048576,DIARIO!D$8,FATURAMENTO!$I$8:$I$1048576,DIARIO!C289)</f>
        <v>0</v>
      </c>
      <c r="E289" s="18">
        <f ca="1">SUMIFS(FATURAMENTO!$H$8:$H$1048576,FATURAMENTO!$M$8:$M$1048576,DIARIO!E$8,FATURAMENTO!$I$8:$I$1048576,C289)</f>
        <v>0</v>
      </c>
    </row>
    <row r="290" spans="2:5">
      <c r="B290" s="22" t="str">
        <f t="shared" si="4"/>
        <v>sexta-feira</v>
      </c>
      <c r="C290" s="16">
        <v>46304</v>
      </c>
      <c r="D290" s="18">
        <f ca="1">SUMIFS(FATURAMENTO!$H$8:$H$1048576,FATURAMENTO!$M$8:$M$1048576,DIARIO!D$8,FATURAMENTO!$I$8:$I$1048576,DIARIO!C290)</f>
        <v>0</v>
      </c>
      <c r="E290" s="18">
        <f ca="1">SUMIFS(FATURAMENTO!$H$8:$H$1048576,FATURAMENTO!$M$8:$M$1048576,DIARIO!E$8,FATURAMENTO!$I$8:$I$1048576,C290)</f>
        <v>0</v>
      </c>
    </row>
    <row r="291" spans="2:5">
      <c r="B291" s="22" t="str">
        <f t="shared" si="4"/>
        <v>sábado</v>
      </c>
      <c r="C291" s="16">
        <v>46305</v>
      </c>
      <c r="D291" s="18">
        <f ca="1">SUMIFS(FATURAMENTO!$H$8:$H$1048576,FATURAMENTO!$M$8:$M$1048576,DIARIO!D$8,FATURAMENTO!$I$8:$I$1048576,DIARIO!C291)</f>
        <v>0</v>
      </c>
      <c r="E291" s="18">
        <f ca="1">SUMIFS(FATURAMENTO!$H$8:$H$1048576,FATURAMENTO!$M$8:$M$1048576,DIARIO!E$8,FATURAMENTO!$I$8:$I$1048576,C291)</f>
        <v>0</v>
      </c>
    </row>
    <row r="292" spans="2:5">
      <c r="B292" s="22" t="str">
        <f t="shared" si="4"/>
        <v>domingo</v>
      </c>
      <c r="C292" s="16">
        <v>46306</v>
      </c>
      <c r="D292" s="18">
        <f ca="1">SUMIFS(FATURAMENTO!$H$8:$H$1048576,FATURAMENTO!$M$8:$M$1048576,DIARIO!D$8,FATURAMENTO!$I$8:$I$1048576,DIARIO!C292)</f>
        <v>0</v>
      </c>
      <c r="E292" s="18">
        <f ca="1">SUMIFS(FATURAMENTO!$H$8:$H$1048576,FATURAMENTO!$M$8:$M$1048576,DIARIO!E$8,FATURAMENTO!$I$8:$I$1048576,C292)</f>
        <v>0</v>
      </c>
    </row>
    <row r="293" spans="2:5">
      <c r="B293" s="22" t="str">
        <f t="shared" si="4"/>
        <v>segunda-feira</v>
      </c>
      <c r="C293" s="16">
        <v>46307</v>
      </c>
      <c r="D293" s="18">
        <f ca="1">SUMIFS(FATURAMENTO!$H$8:$H$1048576,FATURAMENTO!$M$8:$M$1048576,DIARIO!D$8,FATURAMENTO!$I$8:$I$1048576,DIARIO!C293)</f>
        <v>0</v>
      </c>
      <c r="E293" s="18">
        <f ca="1">SUMIFS(FATURAMENTO!$H$8:$H$1048576,FATURAMENTO!$M$8:$M$1048576,DIARIO!E$8,FATURAMENTO!$I$8:$I$1048576,C293)</f>
        <v>0</v>
      </c>
    </row>
    <row r="294" spans="2:5">
      <c r="B294" s="22" t="str">
        <f t="shared" si="4"/>
        <v>terça-feira</v>
      </c>
      <c r="C294" s="16">
        <v>46308</v>
      </c>
      <c r="D294" s="18">
        <f ca="1">SUMIFS(FATURAMENTO!$H$8:$H$1048576,FATURAMENTO!$M$8:$M$1048576,DIARIO!D$8,FATURAMENTO!$I$8:$I$1048576,DIARIO!C294)</f>
        <v>0</v>
      </c>
      <c r="E294" s="18">
        <f ca="1">SUMIFS(FATURAMENTO!$H$8:$H$1048576,FATURAMENTO!$M$8:$M$1048576,DIARIO!E$8,FATURAMENTO!$I$8:$I$1048576,C294)</f>
        <v>0</v>
      </c>
    </row>
    <row r="295" spans="2:5">
      <c r="B295" s="22" t="str">
        <f t="shared" si="4"/>
        <v>quarta-feira</v>
      </c>
      <c r="C295" s="16">
        <v>46309</v>
      </c>
      <c r="D295" s="18">
        <f ca="1">SUMIFS(FATURAMENTO!$H$8:$H$1048576,FATURAMENTO!$M$8:$M$1048576,DIARIO!D$8,FATURAMENTO!$I$8:$I$1048576,DIARIO!C295)</f>
        <v>0</v>
      </c>
      <c r="E295" s="18">
        <f ca="1">SUMIFS(FATURAMENTO!$H$8:$H$1048576,FATURAMENTO!$M$8:$M$1048576,DIARIO!E$8,FATURAMENTO!$I$8:$I$1048576,C295)</f>
        <v>0</v>
      </c>
    </row>
    <row r="296" spans="2:5">
      <c r="B296" s="22" t="str">
        <f t="shared" si="4"/>
        <v>quinta-feira</v>
      </c>
      <c r="C296" s="16">
        <v>46310</v>
      </c>
      <c r="D296" s="18">
        <f ca="1">SUMIFS(FATURAMENTO!$H$8:$H$1048576,FATURAMENTO!$M$8:$M$1048576,DIARIO!D$8,FATURAMENTO!$I$8:$I$1048576,DIARIO!C296)</f>
        <v>0</v>
      </c>
      <c r="E296" s="18">
        <f ca="1">SUMIFS(FATURAMENTO!$H$8:$H$1048576,FATURAMENTO!$M$8:$M$1048576,DIARIO!E$8,FATURAMENTO!$I$8:$I$1048576,C296)</f>
        <v>0</v>
      </c>
    </row>
    <row r="297" spans="2:5">
      <c r="B297" s="22" t="str">
        <f t="shared" si="4"/>
        <v>sexta-feira</v>
      </c>
      <c r="C297" s="16">
        <v>46311</v>
      </c>
      <c r="D297" s="18">
        <f ca="1">SUMIFS(FATURAMENTO!$H$8:$H$1048576,FATURAMENTO!$M$8:$M$1048576,DIARIO!D$8,FATURAMENTO!$I$8:$I$1048576,DIARIO!C297)</f>
        <v>0</v>
      </c>
      <c r="E297" s="18">
        <f ca="1">SUMIFS(FATURAMENTO!$H$8:$H$1048576,FATURAMENTO!$M$8:$M$1048576,DIARIO!E$8,FATURAMENTO!$I$8:$I$1048576,C297)</f>
        <v>0</v>
      </c>
    </row>
    <row r="298" spans="2:5">
      <c r="B298" s="22" t="str">
        <f t="shared" si="4"/>
        <v>sábado</v>
      </c>
      <c r="C298" s="16">
        <v>46312</v>
      </c>
      <c r="D298" s="18">
        <f ca="1">SUMIFS(FATURAMENTO!$H$8:$H$1048576,FATURAMENTO!$M$8:$M$1048576,DIARIO!D$8,FATURAMENTO!$I$8:$I$1048576,DIARIO!C298)</f>
        <v>0</v>
      </c>
      <c r="E298" s="18">
        <f ca="1">SUMIFS(FATURAMENTO!$H$8:$H$1048576,FATURAMENTO!$M$8:$M$1048576,DIARIO!E$8,FATURAMENTO!$I$8:$I$1048576,C298)</f>
        <v>0</v>
      </c>
    </row>
    <row r="299" spans="2:5">
      <c r="B299" s="22" t="str">
        <f t="shared" si="4"/>
        <v>domingo</v>
      </c>
      <c r="C299" s="16">
        <v>46313</v>
      </c>
      <c r="D299" s="18">
        <f ca="1">SUMIFS(FATURAMENTO!$H$8:$H$1048576,FATURAMENTO!$M$8:$M$1048576,DIARIO!D$8,FATURAMENTO!$I$8:$I$1048576,DIARIO!C299)</f>
        <v>0</v>
      </c>
      <c r="E299" s="18">
        <f ca="1">SUMIFS(FATURAMENTO!$H$8:$H$1048576,FATURAMENTO!$M$8:$M$1048576,DIARIO!E$8,FATURAMENTO!$I$8:$I$1048576,C299)</f>
        <v>0</v>
      </c>
    </row>
    <row r="300" spans="2:5">
      <c r="B300" s="22" t="str">
        <f t="shared" si="4"/>
        <v>segunda-feira</v>
      </c>
      <c r="C300" s="16">
        <v>46314</v>
      </c>
      <c r="D300" s="18">
        <f ca="1">SUMIFS(FATURAMENTO!$H$8:$H$1048576,FATURAMENTO!$M$8:$M$1048576,DIARIO!D$8,FATURAMENTO!$I$8:$I$1048576,DIARIO!C300)</f>
        <v>0</v>
      </c>
      <c r="E300" s="18">
        <f ca="1">SUMIFS(FATURAMENTO!$H$8:$H$1048576,FATURAMENTO!$M$8:$M$1048576,DIARIO!E$8,FATURAMENTO!$I$8:$I$1048576,C300)</f>
        <v>0</v>
      </c>
    </row>
    <row r="301" spans="2:5">
      <c r="B301" s="22" t="str">
        <f t="shared" si="4"/>
        <v>terça-feira</v>
      </c>
      <c r="C301" s="16">
        <v>46315</v>
      </c>
      <c r="D301" s="18">
        <f ca="1">SUMIFS(FATURAMENTO!$H$8:$H$1048576,FATURAMENTO!$M$8:$M$1048576,DIARIO!D$8,FATURAMENTO!$I$8:$I$1048576,DIARIO!C301)</f>
        <v>0</v>
      </c>
      <c r="E301" s="18">
        <f ca="1">SUMIFS(FATURAMENTO!$H$8:$H$1048576,FATURAMENTO!$M$8:$M$1048576,DIARIO!E$8,FATURAMENTO!$I$8:$I$1048576,C301)</f>
        <v>0</v>
      </c>
    </row>
    <row r="302" spans="2:5">
      <c r="B302" s="22" t="str">
        <f t="shared" si="4"/>
        <v>quarta-feira</v>
      </c>
      <c r="C302" s="16">
        <v>46316</v>
      </c>
      <c r="D302" s="18">
        <f ca="1">SUMIFS(FATURAMENTO!$H$8:$H$1048576,FATURAMENTO!$M$8:$M$1048576,DIARIO!D$8,FATURAMENTO!$I$8:$I$1048576,DIARIO!C302)</f>
        <v>0</v>
      </c>
      <c r="E302" s="18">
        <f ca="1">SUMIFS(FATURAMENTO!$H$8:$H$1048576,FATURAMENTO!$M$8:$M$1048576,DIARIO!E$8,FATURAMENTO!$I$8:$I$1048576,C302)</f>
        <v>0</v>
      </c>
    </row>
    <row r="303" spans="2:5">
      <c r="B303" s="22" t="str">
        <f t="shared" si="4"/>
        <v>quinta-feira</v>
      </c>
      <c r="C303" s="16">
        <v>46317</v>
      </c>
      <c r="D303" s="18">
        <f ca="1">SUMIFS(FATURAMENTO!$H$8:$H$1048576,FATURAMENTO!$M$8:$M$1048576,DIARIO!D$8,FATURAMENTO!$I$8:$I$1048576,DIARIO!C303)</f>
        <v>0</v>
      </c>
      <c r="E303" s="18">
        <f ca="1">SUMIFS(FATURAMENTO!$H$8:$H$1048576,FATURAMENTO!$M$8:$M$1048576,DIARIO!E$8,FATURAMENTO!$I$8:$I$1048576,C303)</f>
        <v>0</v>
      </c>
    </row>
    <row r="304" spans="2:5">
      <c r="B304" s="22" t="str">
        <f t="shared" si="4"/>
        <v>sexta-feira</v>
      </c>
      <c r="C304" s="16">
        <v>46318</v>
      </c>
      <c r="D304" s="18">
        <f ca="1">SUMIFS(FATURAMENTO!$H$8:$H$1048576,FATURAMENTO!$M$8:$M$1048576,DIARIO!D$8,FATURAMENTO!$I$8:$I$1048576,DIARIO!C304)</f>
        <v>0</v>
      </c>
      <c r="E304" s="18">
        <f ca="1">SUMIFS(FATURAMENTO!$H$8:$H$1048576,FATURAMENTO!$M$8:$M$1048576,DIARIO!E$8,FATURAMENTO!$I$8:$I$1048576,C304)</f>
        <v>0</v>
      </c>
    </row>
    <row r="305" spans="2:5">
      <c r="B305" s="22" t="str">
        <f t="shared" si="4"/>
        <v>sábado</v>
      </c>
      <c r="C305" s="16">
        <v>46319</v>
      </c>
      <c r="D305" s="18">
        <f ca="1">SUMIFS(FATURAMENTO!$H$8:$H$1048576,FATURAMENTO!$M$8:$M$1048576,DIARIO!D$8,FATURAMENTO!$I$8:$I$1048576,DIARIO!C305)</f>
        <v>0</v>
      </c>
      <c r="E305" s="18">
        <f ca="1">SUMIFS(FATURAMENTO!$H$8:$H$1048576,FATURAMENTO!$M$8:$M$1048576,DIARIO!E$8,FATURAMENTO!$I$8:$I$1048576,C305)</f>
        <v>0</v>
      </c>
    </row>
    <row r="306" spans="2:5">
      <c r="B306" s="22" t="str">
        <f t="shared" si="4"/>
        <v>domingo</v>
      </c>
      <c r="C306" s="16">
        <v>46320</v>
      </c>
      <c r="D306" s="18">
        <f ca="1">SUMIFS(FATURAMENTO!$H$8:$H$1048576,FATURAMENTO!$M$8:$M$1048576,DIARIO!D$8,FATURAMENTO!$I$8:$I$1048576,DIARIO!C306)</f>
        <v>0</v>
      </c>
      <c r="E306" s="18">
        <f ca="1">SUMIFS(FATURAMENTO!$H$8:$H$1048576,FATURAMENTO!$M$8:$M$1048576,DIARIO!E$8,FATURAMENTO!$I$8:$I$1048576,C306)</f>
        <v>0</v>
      </c>
    </row>
    <row r="307" spans="2:5">
      <c r="B307" s="22" t="str">
        <f t="shared" si="4"/>
        <v>segunda-feira</v>
      </c>
      <c r="C307" s="16">
        <v>46321</v>
      </c>
      <c r="D307" s="18">
        <f ca="1">SUMIFS(FATURAMENTO!$H$8:$H$1048576,FATURAMENTO!$M$8:$M$1048576,DIARIO!D$8,FATURAMENTO!$I$8:$I$1048576,DIARIO!C307)</f>
        <v>0</v>
      </c>
      <c r="E307" s="18">
        <f ca="1">SUMIFS(FATURAMENTO!$H$8:$H$1048576,FATURAMENTO!$M$8:$M$1048576,DIARIO!E$8,FATURAMENTO!$I$8:$I$1048576,C307)</f>
        <v>0</v>
      </c>
    </row>
    <row r="308" spans="2:5">
      <c r="B308" s="22" t="str">
        <f t="shared" si="4"/>
        <v>terça-feira</v>
      </c>
      <c r="C308" s="16">
        <v>46322</v>
      </c>
      <c r="D308" s="18">
        <f ca="1">SUMIFS(FATURAMENTO!$H$8:$H$1048576,FATURAMENTO!$M$8:$M$1048576,DIARIO!D$8,FATURAMENTO!$I$8:$I$1048576,DIARIO!C308)</f>
        <v>0</v>
      </c>
      <c r="E308" s="18">
        <f ca="1">SUMIFS(FATURAMENTO!$H$8:$H$1048576,FATURAMENTO!$M$8:$M$1048576,DIARIO!E$8,FATURAMENTO!$I$8:$I$1048576,C308)</f>
        <v>0</v>
      </c>
    </row>
    <row r="309" spans="2:5">
      <c r="B309" s="22" t="str">
        <f t="shared" si="4"/>
        <v>quarta-feira</v>
      </c>
      <c r="C309" s="16">
        <v>46323</v>
      </c>
      <c r="D309" s="18">
        <f ca="1">SUMIFS(FATURAMENTO!$H$8:$H$1048576,FATURAMENTO!$M$8:$M$1048576,DIARIO!D$8,FATURAMENTO!$I$8:$I$1048576,DIARIO!C309)</f>
        <v>0</v>
      </c>
      <c r="E309" s="18">
        <f ca="1">SUMIFS(FATURAMENTO!$H$8:$H$1048576,FATURAMENTO!$M$8:$M$1048576,DIARIO!E$8,FATURAMENTO!$I$8:$I$1048576,C309)</f>
        <v>0</v>
      </c>
    </row>
    <row r="310" spans="2:5">
      <c r="B310" s="22" t="str">
        <f t="shared" si="4"/>
        <v>quinta-feira</v>
      </c>
      <c r="C310" s="16">
        <v>46324</v>
      </c>
      <c r="D310" s="18">
        <f ca="1">SUMIFS(FATURAMENTO!$H$8:$H$1048576,FATURAMENTO!$M$8:$M$1048576,DIARIO!D$8,FATURAMENTO!$I$8:$I$1048576,DIARIO!C310)</f>
        <v>0</v>
      </c>
      <c r="E310" s="18">
        <f ca="1">SUMIFS(FATURAMENTO!$H$8:$H$1048576,FATURAMENTO!$M$8:$M$1048576,DIARIO!E$8,FATURAMENTO!$I$8:$I$1048576,C310)</f>
        <v>0</v>
      </c>
    </row>
    <row r="311" spans="2:5">
      <c r="B311" s="22" t="str">
        <f t="shared" si="4"/>
        <v>sexta-feira</v>
      </c>
      <c r="C311" s="16">
        <v>46325</v>
      </c>
      <c r="D311" s="18">
        <f ca="1">SUMIFS(FATURAMENTO!$H$8:$H$1048576,FATURAMENTO!$M$8:$M$1048576,DIARIO!D$8,FATURAMENTO!$I$8:$I$1048576,DIARIO!C311)</f>
        <v>0</v>
      </c>
      <c r="E311" s="18">
        <f ca="1">SUMIFS(FATURAMENTO!$H$8:$H$1048576,FATURAMENTO!$M$8:$M$1048576,DIARIO!E$8,FATURAMENTO!$I$8:$I$1048576,C311)</f>
        <v>0</v>
      </c>
    </row>
    <row r="312" spans="2:5">
      <c r="B312" s="22" t="str">
        <f t="shared" si="4"/>
        <v>sábado</v>
      </c>
      <c r="C312" s="16">
        <v>46326</v>
      </c>
      <c r="D312" s="18">
        <f ca="1">SUMIFS(FATURAMENTO!$H$8:$H$1048576,FATURAMENTO!$M$8:$M$1048576,DIARIO!D$8,FATURAMENTO!$I$8:$I$1048576,DIARIO!C312)</f>
        <v>0</v>
      </c>
      <c r="E312" s="18">
        <f ca="1">SUMIFS(FATURAMENTO!$H$8:$H$1048576,FATURAMENTO!$M$8:$M$1048576,DIARIO!E$8,FATURAMENTO!$I$8:$I$1048576,C312)</f>
        <v>0</v>
      </c>
    </row>
    <row r="313" spans="2:5">
      <c r="B313" s="22" t="str">
        <f t="shared" si="4"/>
        <v>domingo</v>
      </c>
      <c r="C313" s="16">
        <v>46327</v>
      </c>
      <c r="D313" s="18">
        <f ca="1">SUMIFS(FATURAMENTO!$H$8:$H$1048576,FATURAMENTO!$M$8:$M$1048576,DIARIO!D$8,FATURAMENTO!$I$8:$I$1048576,DIARIO!C313)</f>
        <v>0</v>
      </c>
      <c r="E313" s="18">
        <f ca="1">SUMIFS(FATURAMENTO!$H$8:$H$1048576,FATURAMENTO!$M$8:$M$1048576,DIARIO!E$8,FATURAMENTO!$I$8:$I$1048576,C313)</f>
        <v>0</v>
      </c>
    </row>
    <row r="314" spans="2:5">
      <c r="B314" s="22" t="str">
        <f t="shared" si="4"/>
        <v>segunda-feira</v>
      </c>
      <c r="C314" s="16">
        <v>46328</v>
      </c>
      <c r="D314" s="18">
        <f ca="1">SUMIFS(FATURAMENTO!$H$8:$H$1048576,FATURAMENTO!$M$8:$M$1048576,DIARIO!D$8,FATURAMENTO!$I$8:$I$1048576,DIARIO!C314)</f>
        <v>0</v>
      </c>
      <c r="E314" s="18">
        <f ca="1">SUMIFS(FATURAMENTO!$H$8:$H$1048576,FATURAMENTO!$M$8:$M$1048576,DIARIO!E$8,FATURAMENTO!$I$8:$I$1048576,C314)</f>
        <v>0</v>
      </c>
    </row>
    <row r="315" spans="2:5">
      <c r="B315" s="22" t="str">
        <f t="shared" si="4"/>
        <v>terça-feira</v>
      </c>
      <c r="C315" s="16">
        <v>46329</v>
      </c>
      <c r="D315" s="18">
        <f ca="1">SUMIFS(FATURAMENTO!$H$8:$H$1048576,FATURAMENTO!$M$8:$M$1048576,DIARIO!D$8,FATURAMENTO!$I$8:$I$1048576,DIARIO!C315)</f>
        <v>0</v>
      </c>
      <c r="E315" s="18">
        <f ca="1">SUMIFS(FATURAMENTO!$H$8:$H$1048576,FATURAMENTO!$M$8:$M$1048576,DIARIO!E$8,FATURAMENTO!$I$8:$I$1048576,C315)</f>
        <v>0</v>
      </c>
    </row>
    <row r="316" spans="2:5">
      <c r="B316" s="22" t="str">
        <f t="shared" si="4"/>
        <v>quarta-feira</v>
      </c>
      <c r="C316" s="16">
        <v>46330</v>
      </c>
      <c r="D316" s="18">
        <f ca="1">SUMIFS(FATURAMENTO!$H$8:$H$1048576,FATURAMENTO!$M$8:$M$1048576,DIARIO!D$8,FATURAMENTO!$I$8:$I$1048576,DIARIO!C316)</f>
        <v>0</v>
      </c>
      <c r="E316" s="18">
        <f ca="1">SUMIFS(FATURAMENTO!$H$8:$H$1048576,FATURAMENTO!$M$8:$M$1048576,DIARIO!E$8,FATURAMENTO!$I$8:$I$1048576,C316)</f>
        <v>0</v>
      </c>
    </row>
    <row r="317" spans="2:5">
      <c r="B317" s="22" t="str">
        <f t="shared" si="4"/>
        <v>quinta-feira</v>
      </c>
      <c r="C317" s="16">
        <v>46331</v>
      </c>
      <c r="D317" s="18">
        <f ca="1">SUMIFS(FATURAMENTO!$H$8:$H$1048576,FATURAMENTO!$M$8:$M$1048576,DIARIO!D$8,FATURAMENTO!$I$8:$I$1048576,DIARIO!C317)</f>
        <v>0</v>
      </c>
      <c r="E317" s="18">
        <f ca="1">SUMIFS(FATURAMENTO!$H$8:$H$1048576,FATURAMENTO!$M$8:$M$1048576,DIARIO!E$8,FATURAMENTO!$I$8:$I$1048576,C317)</f>
        <v>0</v>
      </c>
    </row>
    <row r="318" spans="2:5">
      <c r="B318" s="22" t="str">
        <f t="shared" si="4"/>
        <v>sexta-feira</v>
      </c>
      <c r="C318" s="16">
        <v>46332</v>
      </c>
      <c r="D318" s="18">
        <f ca="1">SUMIFS(FATURAMENTO!$H$8:$H$1048576,FATURAMENTO!$M$8:$M$1048576,DIARIO!D$8,FATURAMENTO!$I$8:$I$1048576,DIARIO!C318)</f>
        <v>0</v>
      </c>
      <c r="E318" s="18">
        <f ca="1">SUMIFS(FATURAMENTO!$H$8:$H$1048576,FATURAMENTO!$M$8:$M$1048576,DIARIO!E$8,FATURAMENTO!$I$8:$I$1048576,C318)</f>
        <v>0</v>
      </c>
    </row>
    <row r="319" spans="2:5">
      <c r="B319" s="22" t="str">
        <f t="shared" si="4"/>
        <v>sábado</v>
      </c>
      <c r="C319" s="16">
        <v>46333</v>
      </c>
      <c r="D319" s="18">
        <f ca="1">SUMIFS(FATURAMENTO!$H$8:$H$1048576,FATURAMENTO!$M$8:$M$1048576,DIARIO!D$8,FATURAMENTO!$I$8:$I$1048576,DIARIO!C319)</f>
        <v>0</v>
      </c>
      <c r="E319" s="18">
        <f ca="1">SUMIFS(FATURAMENTO!$H$8:$H$1048576,FATURAMENTO!$M$8:$M$1048576,DIARIO!E$8,FATURAMENTO!$I$8:$I$1048576,C319)</f>
        <v>0</v>
      </c>
    </row>
    <row r="320" spans="2:5">
      <c r="B320" s="22" t="str">
        <f t="shared" si="4"/>
        <v>domingo</v>
      </c>
      <c r="C320" s="16">
        <v>46334</v>
      </c>
      <c r="D320" s="18">
        <f ca="1">SUMIFS(FATURAMENTO!$H$8:$H$1048576,FATURAMENTO!$M$8:$M$1048576,DIARIO!D$8,FATURAMENTO!$I$8:$I$1048576,DIARIO!C320)</f>
        <v>0</v>
      </c>
      <c r="E320" s="18">
        <f ca="1">SUMIFS(FATURAMENTO!$H$8:$H$1048576,FATURAMENTO!$M$8:$M$1048576,DIARIO!E$8,FATURAMENTO!$I$8:$I$1048576,C320)</f>
        <v>0</v>
      </c>
    </row>
    <row r="321" spans="2:5">
      <c r="B321" s="22" t="str">
        <f t="shared" si="4"/>
        <v>segunda-feira</v>
      </c>
      <c r="C321" s="16">
        <v>46335</v>
      </c>
      <c r="D321" s="18">
        <f ca="1">SUMIFS(FATURAMENTO!$H$8:$H$1048576,FATURAMENTO!$M$8:$M$1048576,DIARIO!D$8,FATURAMENTO!$I$8:$I$1048576,DIARIO!C321)</f>
        <v>0</v>
      </c>
      <c r="E321" s="18">
        <f ca="1">SUMIFS(FATURAMENTO!$H$8:$H$1048576,FATURAMENTO!$M$8:$M$1048576,DIARIO!E$8,FATURAMENTO!$I$8:$I$1048576,C321)</f>
        <v>0</v>
      </c>
    </row>
    <row r="322" spans="2:5">
      <c r="B322" s="22" t="str">
        <f t="shared" si="4"/>
        <v>terça-feira</v>
      </c>
      <c r="C322" s="16">
        <v>46336</v>
      </c>
      <c r="D322" s="18">
        <f ca="1">SUMIFS(FATURAMENTO!$H$8:$H$1048576,FATURAMENTO!$M$8:$M$1048576,DIARIO!D$8,FATURAMENTO!$I$8:$I$1048576,DIARIO!C322)</f>
        <v>0</v>
      </c>
      <c r="E322" s="18">
        <f ca="1">SUMIFS(FATURAMENTO!$H$8:$H$1048576,FATURAMENTO!$M$8:$M$1048576,DIARIO!E$8,FATURAMENTO!$I$8:$I$1048576,C322)</f>
        <v>0</v>
      </c>
    </row>
    <row r="323" spans="2:5">
      <c r="B323" s="22" t="str">
        <f t="shared" si="4"/>
        <v>quarta-feira</v>
      </c>
      <c r="C323" s="16">
        <v>46337</v>
      </c>
      <c r="D323" s="18">
        <f ca="1">SUMIFS(FATURAMENTO!$H$8:$H$1048576,FATURAMENTO!$M$8:$M$1048576,DIARIO!D$8,FATURAMENTO!$I$8:$I$1048576,DIARIO!C323)</f>
        <v>0</v>
      </c>
      <c r="E323" s="18">
        <f ca="1">SUMIFS(FATURAMENTO!$H$8:$H$1048576,FATURAMENTO!$M$8:$M$1048576,DIARIO!E$8,FATURAMENTO!$I$8:$I$1048576,C323)</f>
        <v>0</v>
      </c>
    </row>
    <row r="324" spans="2:5">
      <c r="B324" s="22" t="str">
        <f t="shared" si="4"/>
        <v>quinta-feira</v>
      </c>
      <c r="C324" s="16">
        <v>46338</v>
      </c>
      <c r="D324" s="18">
        <f ca="1">SUMIFS(FATURAMENTO!$H$8:$H$1048576,FATURAMENTO!$M$8:$M$1048576,DIARIO!D$8,FATURAMENTO!$I$8:$I$1048576,DIARIO!C324)</f>
        <v>0</v>
      </c>
      <c r="E324" s="18">
        <f ca="1">SUMIFS(FATURAMENTO!$H$8:$H$1048576,FATURAMENTO!$M$8:$M$1048576,DIARIO!E$8,FATURAMENTO!$I$8:$I$1048576,C324)</f>
        <v>0</v>
      </c>
    </row>
    <row r="325" spans="2:5">
      <c r="B325" s="22" t="str">
        <f t="shared" si="4"/>
        <v>sexta-feira</v>
      </c>
      <c r="C325" s="16">
        <v>46339</v>
      </c>
      <c r="D325" s="18">
        <f ca="1">SUMIFS(FATURAMENTO!$H$8:$H$1048576,FATURAMENTO!$M$8:$M$1048576,DIARIO!D$8,FATURAMENTO!$I$8:$I$1048576,DIARIO!C325)</f>
        <v>0</v>
      </c>
      <c r="E325" s="18">
        <f ca="1">SUMIFS(FATURAMENTO!$H$8:$H$1048576,FATURAMENTO!$M$8:$M$1048576,DIARIO!E$8,FATURAMENTO!$I$8:$I$1048576,C325)</f>
        <v>0</v>
      </c>
    </row>
    <row r="326" spans="2:5">
      <c r="B326" s="22" t="str">
        <f t="shared" si="4"/>
        <v>sábado</v>
      </c>
      <c r="C326" s="16">
        <v>46340</v>
      </c>
      <c r="D326" s="18">
        <f ca="1">SUMIFS(FATURAMENTO!$H$8:$H$1048576,FATURAMENTO!$M$8:$M$1048576,DIARIO!D$8,FATURAMENTO!$I$8:$I$1048576,DIARIO!C326)</f>
        <v>0</v>
      </c>
      <c r="E326" s="18">
        <f ca="1">SUMIFS(FATURAMENTO!$H$8:$H$1048576,FATURAMENTO!$M$8:$M$1048576,DIARIO!E$8,FATURAMENTO!$I$8:$I$1048576,C326)</f>
        <v>0</v>
      </c>
    </row>
    <row r="327" spans="2:5">
      <c r="B327" s="22" t="str">
        <f t="shared" si="4"/>
        <v>domingo</v>
      </c>
      <c r="C327" s="16">
        <v>46341</v>
      </c>
      <c r="D327" s="18">
        <f ca="1">SUMIFS(FATURAMENTO!$H$8:$H$1048576,FATURAMENTO!$M$8:$M$1048576,DIARIO!D$8,FATURAMENTO!$I$8:$I$1048576,DIARIO!C327)</f>
        <v>0</v>
      </c>
      <c r="E327" s="18">
        <f ca="1">SUMIFS(FATURAMENTO!$H$8:$H$1048576,FATURAMENTO!$M$8:$M$1048576,DIARIO!E$8,FATURAMENTO!$I$8:$I$1048576,C327)</f>
        <v>0</v>
      </c>
    </row>
    <row r="328" spans="2:5">
      <c r="B328" s="22" t="str">
        <f t="shared" si="4"/>
        <v>segunda-feira</v>
      </c>
      <c r="C328" s="16">
        <v>46342</v>
      </c>
      <c r="D328" s="18">
        <f ca="1">SUMIFS(FATURAMENTO!$H$8:$H$1048576,FATURAMENTO!$M$8:$M$1048576,DIARIO!D$8,FATURAMENTO!$I$8:$I$1048576,DIARIO!C328)</f>
        <v>0</v>
      </c>
      <c r="E328" s="18">
        <f ca="1">SUMIFS(FATURAMENTO!$H$8:$H$1048576,FATURAMENTO!$M$8:$M$1048576,DIARIO!E$8,FATURAMENTO!$I$8:$I$1048576,C328)</f>
        <v>0</v>
      </c>
    </row>
    <row r="329" spans="2:5">
      <c r="B329" s="22" t="str">
        <f t="shared" ref="B329:B373" si="5">TEXT(C329,"dddd")</f>
        <v>terça-feira</v>
      </c>
      <c r="C329" s="16">
        <v>46343</v>
      </c>
      <c r="D329" s="18">
        <f ca="1">SUMIFS(FATURAMENTO!$H$8:$H$1048576,FATURAMENTO!$M$8:$M$1048576,DIARIO!D$8,FATURAMENTO!$I$8:$I$1048576,DIARIO!C329)</f>
        <v>0</v>
      </c>
      <c r="E329" s="18">
        <f ca="1">SUMIFS(FATURAMENTO!$H$8:$H$1048576,FATURAMENTO!$M$8:$M$1048576,DIARIO!E$8,FATURAMENTO!$I$8:$I$1048576,C329)</f>
        <v>0</v>
      </c>
    </row>
    <row r="330" spans="2:5">
      <c r="B330" s="22" t="str">
        <f t="shared" si="5"/>
        <v>quarta-feira</v>
      </c>
      <c r="C330" s="16">
        <v>46344</v>
      </c>
      <c r="D330" s="18">
        <f ca="1">SUMIFS(FATURAMENTO!$H$8:$H$1048576,FATURAMENTO!$M$8:$M$1048576,DIARIO!D$8,FATURAMENTO!$I$8:$I$1048576,DIARIO!C330)</f>
        <v>0</v>
      </c>
      <c r="E330" s="18">
        <f ca="1">SUMIFS(FATURAMENTO!$H$8:$H$1048576,FATURAMENTO!$M$8:$M$1048576,DIARIO!E$8,FATURAMENTO!$I$8:$I$1048576,C330)</f>
        <v>0</v>
      </c>
    </row>
    <row r="331" spans="2:5">
      <c r="B331" s="22" t="str">
        <f t="shared" si="5"/>
        <v>quinta-feira</v>
      </c>
      <c r="C331" s="16">
        <v>46345</v>
      </c>
      <c r="D331" s="18">
        <f ca="1">SUMIFS(FATURAMENTO!$H$8:$H$1048576,FATURAMENTO!$M$8:$M$1048576,DIARIO!D$8,FATURAMENTO!$I$8:$I$1048576,DIARIO!C331)</f>
        <v>0</v>
      </c>
      <c r="E331" s="18">
        <f ca="1">SUMIFS(FATURAMENTO!$H$8:$H$1048576,FATURAMENTO!$M$8:$M$1048576,DIARIO!E$8,FATURAMENTO!$I$8:$I$1048576,C331)</f>
        <v>0</v>
      </c>
    </row>
    <row r="332" spans="2:5">
      <c r="B332" s="22" t="str">
        <f t="shared" si="5"/>
        <v>sexta-feira</v>
      </c>
      <c r="C332" s="16">
        <v>46346</v>
      </c>
      <c r="D332" s="18">
        <f ca="1">SUMIFS(FATURAMENTO!$H$8:$H$1048576,FATURAMENTO!$M$8:$M$1048576,DIARIO!D$8,FATURAMENTO!$I$8:$I$1048576,DIARIO!C332)</f>
        <v>0</v>
      </c>
      <c r="E332" s="18">
        <f ca="1">SUMIFS(FATURAMENTO!$H$8:$H$1048576,FATURAMENTO!$M$8:$M$1048576,DIARIO!E$8,FATURAMENTO!$I$8:$I$1048576,C332)</f>
        <v>0</v>
      </c>
    </row>
    <row r="333" spans="2:5">
      <c r="B333" s="22" t="str">
        <f t="shared" si="5"/>
        <v>sábado</v>
      </c>
      <c r="C333" s="16">
        <v>46347</v>
      </c>
      <c r="D333" s="18">
        <f ca="1">SUMIFS(FATURAMENTO!$H$8:$H$1048576,FATURAMENTO!$M$8:$M$1048576,DIARIO!D$8,FATURAMENTO!$I$8:$I$1048576,DIARIO!C333)</f>
        <v>0</v>
      </c>
      <c r="E333" s="18">
        <f ca="1">SUMIFS(FATURAMENTO!$H$8:$H$1048576,FATURAMENTO!$M$8:$M$1048576,DIARIO!E$8,FATURAMENTO!$I$8:$I$1048576,C333)</f>
        <v>0</v>
      </c>
    </row>
    <row r="334" spans="2:5">
      <c r="B334" s="22" t="str">
        <f t="shared" si="5"/>
        <v>domingo</v>
      </c>
      <c r="C334" s="16">
        <v>46348</v>
      </c>
      <c r="D334" s="18">
        <f ca="1">SUMIFS(FATURAMENTO!$H$8:$H$1048576,FATURAMENTO!$M$8:$M$1048576,DIARIO!D$8,FATURAMENTO!$I$8:$I$1048576,DIARIO!C334)</f>
        <v>0</v>
      </c>
      <c r="E334" s="18">
        <f ca="1">SUMIFS(FATURAMENTO!$H$8:$H$1048576,FATURAMENTO!$M$8:$M$1048576,DIARIO!E$8,FATURAMENTO!$I$8:$I$1048576,C334)</f>
        <v>0</v>
      </c>
    </row>
    <row r="335" spans="2:5">
      <c r="B335" s="22" t="str">
        <f t="shared" si="5"/>
        <v>segunda-feira</v>
      </c>
      <c r="C335" s="16">
        <v>46349</v>
      </c>
      <c r="D335" s="18">
        <f ca="1">SUMIFS(FATURAMENTO!$H$8:$H$1048576,FATURAMENTO!$M$8:$M$1048576,DIARIO!D$8,FATURAMENTO!$I$8:$I$1048576,DIARIO!C335)</f>
        <v>0</v>
      </c>
      <c r="E335" s="18">
        <f ca="1">SUMIFS(FATURAMENTO!$H$8:$H$1048576,FATURAMENTO!$M$8:$M$1048576,DIARIO!E$8,FATURAMENTO!$I$8:$I$1048576,C335)</f>
        <v>0</v>
      </c>
    </row>
    <row r="336" spans="2:5">
      <c r="B336" s="22" t="str">
        <f t="shared" si="5"/>
        <v>terça-feira</v>
      </c>
      <c r="C336" s="16">
        <v>46350</v>
      </c>
      <c r="D336" s="18">
        <f ca="1">SUMIFS(FATURAMENTO!$H$8:$H$1048576,FATURAMENTO!$M$8:$M$1048576,DIARIO!D$8,FATURAMENTO!$I$8:$I$1048576,DIARIO!C336)</f>
        <v>0</v>
      </c>
      <c r="E336" s="18">
        <f ca="1">SUMIFS(FATURAMENTO!$H$8:$H$1048576,FATURAMENTO!$M$8:$M$1048576,DIARIO!E$8,FATURAMENTO!$I$8:$I$1048576,C336)</f>
        <v>0</v>
      </c>
    </row>
    <row r="337" spans="2:5">
      <c r="B337" s="22" t="str">
        <f t="shared" si="5"/>
        <v>quarta-feira</v>
      </c>
      <c r="C337" s="16">
        <v>46351</v>
      </c>
      <c r="D337" s="18">
        <f ca="1">SUMIFS(FATURAMENTO!$H$8:$H$1048576,FATURAMENTO!$M$8:$M$1048576,DIARIO!D$8,FATURAMENTO!$I$8:$I$1048576,DIARIO!C337)</f>
        <v>0</v>
      </c>
      <c r="E337" s="18">
        <f ca="1">SUMIFS(FATURAMENTO!$H$8:$H$1048576,FATURAMENTO!$M$8:$M$1048576,DIARIO!E$8,FATURAMENTO!$I$8:$I$1048576,C337)</f>
        <v>0</v>
      </c>
    </row>
    <row r="338" spans="2:5">
      <c r="B338" s="22" t="str">
        <f t="shared" si="5"/>
        <v>quinta-feira</v>
      </c>
      <c r="C338" s="16">
        <v>46352</v>
      </c>
      <c r="D338" s="18">
        <f ca="1">SUMIFS(FATURAMENTO!$H$8:$H$1048576,FATURAMENTO!$M$8:$M$1048576,DIARIO!D$8,FATURAMENTO!$I$8:$I$1048576,DIARIO!C338)</f>
        <v>0</v>
      </c>
      <c r="E338" s="18">
        <f ca="1">SUMIFS(FATURAMENTO!$H$8:$H$1048576,FATURAMENTO!$M$8:$M$1048576,DIARIO!E$8,FATURAMENTO!$I$8:$I$1048576,C338)</f>
        <v>0</v>
      </c>
    </row>
    <row r="339" spans="2:5">
      <c r="B339" s="22" t="str">
        <f t="shared" si="5"/>
        <v>sexta-feira</v>
      </c>
      <c r="C339" s="16">
        <v>46353</v>
      </c>
      <c r="D339" s="18">
        <f ca="1">SUMIFS(FATURAMENTO!$H$8:$H$1048576,FATURAMENTO!$M$8:$M$1048576,DIARIO!D$8,FATURAMENTO!$I$8:$I$1048576,DIARIO!C339)</f>
        <v>0</v>
      </c>
      <c r="E339" s="18">
        <f ca="1">SUMIFS(FATURAMENTO!$H$8:$H$1048576,FATURAMENTO!$M$8:$M$1048576,DIARIO!E$8,FATURAMENTO!$I$8:$I$1048576,C339)</f>
        <v>0</v>
      </c>
    </row>
    <row r="340" spans="2:5">
      <c r="B340" s="22" t="str">
        <f t="shared" si="5"/>
        <v>sábado</v>
      </c>
      <c r="C340" s="16">
        <v>46354</v>
      </c>
      <c r="D340" s="18">
        <f ca="1">SUMIFS(FATURAMENTO!$H$8:$H$1048576,FATURAMENTO!$M$8:$M$1048576,DIARIO!D$8,FATURAMENTO!$I$8:$I$1048576,DIARIO!C340)</f>
        <v>0</v>
      </c>
      <c r="E340" s="18">
        <f ca="1">SUMIFS(FATURAMENTO!$H$8:$H$1048576,FATURAMENTO!$M$8:$M$1048576,DIARIO!E$8,FATURAMENTO!$I$8:$I$1048576,C340)</f>
        <v>0</v>
      </c>
    </row>
    <row r="341" spans="2:5">
      <c r="B341" s="22" t="str">
        <f t="shared" si="5"/>
        <v>domingo</v>
      </c>
      <c r="C341" s="16">
        <v>46355</v>
      </c>
      <c r="D341" s="18">
        <f ca="1">SUMIFS(FATURAMENTO!$H$8:$H$1048576,FATURAMENTO!$M$8:$M$1048576,DIARIO!D$8,FATURAMENTO!$I$8:$I$1048576,DIARIO!C341)</f>
        <v>0</v>
      </c>
      <c r="E341" s="18">
        <f ca="1">SUMIFS(FATURAMENTO!$H$8:$H$1048576,FATURAMENTO!$M$8:$M$1048576,DIARIO!E$8,FATURAMENTO!$I$8:$I$1048576,C341)</f>
        <v>0</v>
      </c>
    </row>
    <row r="342" spans="2:5">
      <c r="B342" s="22" t="str">
        <f t="shared" si="5"/>
        <v>segunda-feira</v>
      </c>
      <c r="C342" s="16">
        <v>46356</v>
      </c>
      <c r="D342" s="18">
        <f ca="1">SUMIFS(FATURAMENTO!$H$8:$H$1048576,FATURAMENTO!$M$8:$M$1048576,DIARIO!D$8,FATURAMENTO!$I$8:$I$1048576,DIARIO!C342)</f>
        <v>0</v>
      </c>
      <c r="E342" s="18">
        <f ca="1">SUMIFS(FATURAMENTO!$H$8:$H$1048576,FATURAMENTO!$M$8:$M$1048576,DIARIO!E$8,FATURAMENTO!$I$8:$I$1048576,C342)</f>
        <v>0</v>
      </c>
    </row>
    <row r="343" spans="2:5">
      <c r="B343" s="22" t="str">
        <f t="shared" si="5"/>
        <v>terça-feira</v>
      </c>
      <c r="C343" s="16">
        <v>46357</v>
      </c>
      <c r="D343" s="18">
        <f ca="1">SUMIFS(FATURAMENTO!$H$8:$H$1048576,FATURAMENTO!$M$8:$M$1048576,DIARIO!D$8,FATURAMENTO!$I$8:$I$1048576,DIARIO!C343)</f>
        <v>0</v>
      </c>
      <c r="E343" s="18">
        <f ca="1">SUMIFS(FATURAMENTO!$H$8:$H$1048576,FATURAMENTO!$M$8:$M$1048576,DIARIO!E$8,FATURAMENTO!$I$8:$I$1048576,C343)</f>
        <v>0</v>
      </c>
    </row>
    <row r="344" spans="2:5">
      <c r="B344" s="22" t="str">
        <f t="shared" si="5"/>
        <v>quarta-feira</v>
      </c>
      <c r="C344" s="16">
        <v>46358</v>
      </c>
      <c r="D344" s="18">
        <f ca="1">SUMIFS(FATURAMENTO!$H$8:$H$1048576,FATURAMENTO!$M$8:$M$1048576,DIARIO!D$8,FATURAMENTO!$I$8:$I$1048576,DIARIO!C344)</f>
        <v>0</v>
      </c>
      <c r="E344" s="18">
        <f ca="1">SUMIFS(FATURAMENTO!$H$8:$H$1048576,FATURAMENTO!$M$8:$M$1048576,DIARIO!E$8,FATURAMENTO!$I$8:$I$1048576,C344)</f>
        <v>0</v>
      </c>
    </row>
    <row r="345" spans="2:5">
      <c r="B345" s="22" t="str">
        <f t="shared" si="5"/>
        <v>quinta-feira</v>
      </c>
      <c r="C345" s="16">
        <v>46359</v>
      </c>
      <c r="D345" s="18">
        <f ca="1">SUMIFS(FATURAMENTO!$H$8:$H$1048576,FATURAMENTO!$M$8:$M$1048576,DIARIO!D$8,FATURAMENTO!$I$8:$I$1048576,DIARIO!C345)</f>
        <v>0</v>
      </c>
      <c r="E345" s="18">
        <f ca="1">SUMIFS(FATURAMENTO!$H$8:$H$1048576,FATURAMENTO!$M$8:$M$1048576,DIARIO!E$8,FATURAMENTO!$I$8:$I$1048576,C345)</f>
        <v>0</v>
      </c>
    </row>
    <row r="346" spans="2:5">
      <c r="B346" s="22" t="str">
        <f t="shared" si="5"/>
        <v>sexta-feira</v>
      </c>
      <c r="C346" s="16">
        <v>46360</v>
      </c>
      <c r="D346" s="18">
        <f ca="1">SUMIFS(FATURAMENTO!$H$8:$H$1048576,FATURAMENTO!$M$8:$M$1048576,DIARIO!D$8,FATURAMENTO!$I$8:$I$1048576,DIARIO!C346)</f>
        <v>0</v>
      </c>
      <c r="E346" s="18">
        <f ca="1">SUMIFS(FATURAMENTO!$H$8:$H$1048576,FATURAMENTO!$M$8:$M$1048576,DIARIO!E$8,FATURAMENTO!$I$8:$I$1048576,C346)</f>
        <v>0</v>
      </c>
    </row>
    <row r="347" spans="2:5">
      <c r="B347" s="22" t="str">
        <f t="shared" si="5"/>
        <v>sábado</v>
      </c>
      <c r="C347" s="16">
        <v>46361</v>
      </c>
      <c r="D347" s="18">
        <f ca="1">SUMIFS(FATURAMENTO!$H$8:$H$1048576,FATURAMENTO!$M$8:$M$1048576,DIARIO!D$8,FATURAMENTO!$I$8:$I$1048576,DIARIO!C347)</f>
        <v>0</v>
      </c>
      <c r="E347" s="18">
        <f ca="1">SUMIFS(FATURAMENTO!$H$8:$H$1048576,FATURAMENTO!$M$8:$M$1048576,DIARIO!E$8,FATURAMENTO!$I$8:$I$1048576,C347)</f>
        <v>0</v>
      </c>
    </row>
    <row r="348" spans="2:5">
      <c r="B348" s="22" t="str">
        <f t="shared" si="5"/>
        <v>domingo</v>
      </c>
      <c r="C348" s="16">
        <v>46362</v>
      </c>
      <c r="D348" s="18">
        <f ca="1">SUMIFS(FATURAMENTO!$H$8:$H$1048576,FATURAMENTO!$M$8:$M$1048576,DIARIO!D$8,FATURAMENTO!$I$8:$I$1048576,DIARIO!C348)</f>
        <v>0</v>
      </c>
      <c r="E348" s="18">
        <f ca="1">SUMIFS(FATURAMENTO!$H$8:$H$1048576,FATURAMENTO!$M$8:$M$1048576,DIARIO!E$8,FATURAMENTO!$I$8:$I$1048576,C348)</f>
        <v>0</v>
      </c>
    </row>
    <row r="349" spans="2:5">
      <c r="B349" s="22" t="str">
        <f t="shared" si="5"/>
        <v>segunda-feira</v>
      </c>
      <c r="C349" s="16">
        <v>46363</v>
      </c>
      <c r="D349" s="18">
        <f ca="1">SUMIFS(FATURAMENTO!$H$8:$H$1048576,FATURAMENTO!$M$8:$M$1048576,DIARIO!D$8,FATURAMENTO!$I$8:$I$1048576,DIARIO!C349)</f>
        <v>0</v>
      </c>
      <c r="E349" s="18">
        <f ca="1">SUMIFS(FATURAMENTO!$H$8:$H$1048576,FATURAMENTO!$M$8:$M$1048576,DIARIO!E$8,FATURAMENTO!$I$8:$I$1048576,C349)</f>
        <v>0</v>
      </c>
    </row>
    <row r="350" spans="2:5">
      <c r="B350" s="22" t="str">
        <f t="shared" si="5"/>
        <v>terça-feira</v>
      </c>
      <c r="C350" s="16">
        <v>46364</v>
      </c>
      <c r="D350" s="18">
        <f ca="1">SUMIFS(FATURAMENTO!$H$8:$H$1048576,FATURAMENTO!$M$8:$M$1048576,DIARIO!D$8,FATURAMENTO!$I$8:$I$1048576,DIARIO!C350)</f>
        <v>0</v>
      </c>
      <c r="E350" s="18">
        <f ca="1">SUMIFS(FATURAMENTO!$H$8:$H$1048576,FATURAMENTO!$M$8:$M$1048576,DIARIO!E$8,FATURAMENTO!$I$8:$I$1048576,C350)</f>
        <v>0</v>
      </c>
    </row>
    <row r="351" spans="2:5">
      <c r="B351" s="22" t="str">
        <f t="shared" si="5"/>
        <v>quarta-feira</v>
      </c>
      <c r="C351" s="16">
        <v>46365</v>
      </c>
      <c r="D351" s="18">
        <f ca="1">SUMIFS(FATURAMENTO!$H$8:$H$1048576,FATURAMENTO!$M$8:$M$1048576,DIARIO!D$8,FATURAMENTO!$I$8:$I$1048576,DIARIO!C351)</f>
        <v>0</v>
      </c>
      <c r="E351" s="18">
        <f ca="1">SUMIFS(FATURAMENTO!$H$8:$H$1048576,FATURAMENTO!$M$8:$M$1048576,DIARIO!E$8,FATURAMENTO!$I$8:$I$1048576,C351)</f>
        <v>0</v>
      </c>
    </row>
    <row r="352" spans="2:5">
      <c r="B352" s="22" t="str">
        <f t="shared" si="5"/>
        <v>quinta-feira</v>
      </c>
      <c r="C352" s="16">
        <v>46366</v>
      </c>
      <c r="D352" s="18">
        <f ca="1">SUMIFS(FATURAMENTO!$H$8:$H$1048576,FATURAMENTO!$M$8:$M$1048576,DIARIO!D$8,FATURAMENTO!$I$8:$I$1048576,DIARIO!C352)</f>
        <v>0</v>
      </c>
      <c r="E352" s="18">
        <f ca="1">SUMIFS(FATURAMENTO!$H$8:$H$1048576,FATURAMENTO!$M$8:$M$1048576,DIARIO!E$8,FATURAMENTO!$I$8:$I$1048576,C352)</f>
        <v>0</v>
      </c>
    </row>
    <row r="353" spans="2:5">
      <c r="B353" s="22" t="str">
        <f t="shared" si="5"/>
        <v>sexta-feira</v>
      </c>
      <c r="C353" s="16">
        <v>46367</v>
      </c>
      <c r="D353" s="18">
        <f ca="1">SUMIFS(FATURAMENTO!$H$8:$H$1048576,FATURAMENTO!$M$8:$M$1048576,DIARIO!D$8,FATURAMENTO!$I$8:$I$1048576,DIARIO!C353)</f>
        <v>0</v>
      </c>
      <c r="E353" s="18">
        <f ca="1">SUMIFS(FATURAMENTO!$H$8:$H$1048576,FATURAMENTO!$M$8:$M$1048576,DIARIO!E$8,FATURAMENTO!$I$8:$I$1048576,C353)</f>
        <v>0</v>
      </c>
    </row>
    <row r="354" spans="2:5">
      <c r="B354" s="22" t="str">
        <f t="shared" si="5"/>
        <v>sábado</v>
      </c>
      <c r="C354" s="16">
        <v>46368</v>
      </c>
      <c r="D354" s="18">
        <f ca="1">SUMIFS(FATURAMENTO!$H$8:$H$1048576,FATURAMENTO!$M$8:$M$1048576,DIARIO!D$8,FATURAMENTO!$I$8:$I$1048576,DIARIO!C354)</f>
        <v>0</v>
      </c>
      <c r="E354" s="18">
        <f ca="1">SUMIFS(FATURAMENTO!$H$8:$H$1048576,FATURAMENTO!$M$8:$M$1048576,DIARIO!E$8,FATURAMENTO!$I$8:$I$1048576,C354)</f>
        <v>0</v>
      </c>
    </row>
    <row r="355" spans="2:5">
      <c r="B355" s="22" t="str">
        <f t="shared" si="5"/>
        <v>domingo</v>
      </c>
      <c r="C355" s="16">
        <v>46369</v>
      </c>
      <c r="D355" s="18">
        <f ca="1">SUMIFS(FATURAMENTO!$H$8:$H$1048576,FATURAMENTO!$M$8:$M$1048576,DIARIO!D$8,FATURAMENTO!$I$8:$I$1048576,DIARIO!C355)</f>
        <v>0</v>
      </c>
      <c r="E355" s="18">
        <f ca="1">SUMIFS(FATURAMENTO!$H$8:$H$1048576,FATURAMENTO!$M$8:$M$1048576,DIARIO!E$8,FATURAMENTO!$I$8:$I$1048576,C355)</f>
        <v>0</v>
      </c>
    </row>
    <row r="356" spans="2:5">
      <c r="B356" s="22" t="str">
        <f t="shared" si="5"/>
        <v>segunda-feira</v>
      </c>
      <c r="C356" s="16">
        <v>46370</v>
      </c>
      <c r="D356" s="18">
        <f ca="1">SUMIFS(FATURAMENTO!$H$8:$H$1048576,FATURAMENTO!$M$8:$M$1048576,DIARIO!D$8,FATURAMENTO!$I$8:$I$1048576,DIARIO!C356)</f>
        <v>0</v>
      </c>
      <c r="E356" s="18">
        <f ca="1">SUMIFS(FATURAMENTO!$H$8:$H$1048576,FATURAMENTO!$M$8:$M$1048576,DIARIO!E$8,FATURAMENTO!$I$8:$I$1048576,C356)</f>
        <v>0</v>
      </c>
    </row>
    <row r="357" spans="2:5">
      <c r="B357" s="22" t="str">
        <f t="shared" si="5"/>
        <v>terça-feira</v>
      </c>
      <c r="C357" s="16">
        <v>46371</v>
      </c>
      <c r="D357" s="18">
        <f ca="1">SUMIFS(FATURAMENTO!$H$8:$H$1048576,FATURAMENTO!$M$8:$M$1048576,DIARIO!D$8,FATURAMENTO!$I$8:$I$1048576,DIARIO!C357)</f>
        <v>0</v>
      </c>
      <c r="E357" s="18">
        <f ca="1">SUMIFS(FATURAMENTO!$H$8:$H$1048576,FATURAMENTO!$M$8:$M$1048576,DIARIO!E$8,FATURAMENTO!$I$8:$I$1048576,C357)</f>
        <v>0</v>
      </c>
    </row>
    <row r="358" spans="2:5">
      <c r="B358" s="22" t="str">
        <f t="shared" si="5"/>
        <v>quarta-feira</v>
      </c>
      <c r="C358" s="16">
        <v>46372</v>
      </c>
      <c r="D358" s="18">
        <f ca="1">SUMIFS(FATURAMENTO!$H$8:$H$1048576,FATURAMENTO!$M$8:$M$1048576,DIARIO!D$8,FATURAMENTO!$I$8:$I$1048576,DIARIO!C358)</f>
        <v>0</v>
      </c>
      <c r="E358" s="18">
        <f ca="1">SUMIFS(FATURAMENTO!$H$8:$H$1048576,FATURAMENTO!$M$8:$M$1048576,DIARIO!E$8,FATURAMENTO!$I$8:$I$1048576,C358)</f>
        <v>0</v>
      </c>
    </row>
    <row r="359" spans="2:5">
      <c r="B359" s="22" t="str">
        <f t="shared" si="5"/>
        <v>quinta-feira</v>
      </c>
      <c r="C359" s="16">
        <v>46373</v>
      </c>
      <c r="D359" s="18">
        <f ca="1">SUMIFS(FATURAMENTO!$H$8:$H$1048576,FATURAMENTO!$M$8:$M$1048576,DIARIO!D$8,FATURAMENTO!$I$8:$I$1048576,DIARIO!C359)</f>
        <v>0</v>
      </c>
      <c r="E359" s="18">
        <f ca="1">SUMIFS(FATURAMENTO!$H$8:$H$1048576,FATURAMENTO!$M$8:$M$1048576,DIARIO!E$8,FATURAMENTO!$I$8:$I$1048576,C359)</f>
        <v>0</v>
      </c>
    </row>
    <row r="360" spans="2:5">
      <c r="B360" s="22" t="str">
        <f t="shared" si="5"/>
        <v>sexta-feira</v>
      </c>
      <c r="C360" s="16">
        <v>46374</v>
      </c>
      <c r="D360" s="18">
        <f ca="1">SUMIFS(FATURAMENTO!$H$8:$H$1048576,FATURAMENTO!$M$8:$M$1048576,DIARIO!D$8,FATURAMENTO!$I$8:$I$1048576,DIARIO!C360)</f>
        <v>0</v>
      </c>
      <c r="E360" s="18">
        <f ca="1">SUMIFS(FATURAMENTO!$H$8:$H$1048576,FATURAMENTO!$M$8:$M$1048576,DIARIO!E$8,FATURAMENTO!$I$8:$I$1048576,C360)</f>
        <v>0</v>
      </c>
    </row>
    <row r="361" spans="2:5">
      <c r="B361" s="22" t="str">
        <f t="shared" si="5"/>
        <v>sábado</v>
      </c>
      <c r="C361" s="16">
        <v>46375</v>
      </c>
      <c r="D361" s="18">
        <f ca="1">SUMIFS(FATURAMENTO!$H$8:$H$1048576,FATURAMENTO!$M$8:$M$1048576,DIARIO!D$8,FATURAMENTO!$I$8:$I$1048576,DIARIO!C361)</f>
        <v>0</v>
      </c>
      <c r="E361" s="18">
        <f ca="1">SUMIFS(FATURAMENTO!$H$8:$H$1048576,FATURAMENTO!$M$8:$M$1048576,DIARIO!E$8,FATURAMENTO!$I$8:$I$1048576,C361)</f>
        <v>0</v>
      </c>
    </row>
    <row r="362" spans="2:5">
      <c r="B362" s="22" t="str">
        <f t="shared" si="5"/>
        <v>domingo</v>
      </c>
      <c r="C362" s="16">
        <v>46376</v>
      </c>
      <c r="D362" s="18">
        <f ca="1">SUMIFS(FATURAMENTO!$H$8:$H$1048576,FATURAMENTO!$M$8:$M$1048576,DIARIO!D$8,FATURAMENTO!$I$8:$I$1048576,DIARIO!C362)</f>
        <v>0</v>
      </c>
      <c r="E362" s="18">
        <f ca="1">SUMIFS(FATURAMENTO!$H$8:$H$1048576,FATURAMENTO!$M$8:$M$1048576,DIARIO!E$8,FATURAMENTO!$I$8:$I$1048576,C362)</f>
        <v>0</v>
      </c>
    </row>
    <row r="363" spans="2:5">
      <c r="B363" s="22" t="str">
        <f t="shared" si="5"/>
        <v>segunda-feira</v>
      </c>
      <c r="C363" s="16">
        <v>46377</v>
      </c>
      <c r="D363" s="18">
        <f ca="1">SUMIFS(FATURAMENTO!$H$8:$H$1048576,FATURAMENTO!$M$8:$M$1048576,DIARIO!D$8,FATURAMENTO!$I$8:$I$1048576,DIARIO!C363)</f>
        <v>0</v>
      </c>
      <c r="E363" s="18">
        <f ca="1">SUMIFS(FATURAMENTO!$H$8:$H$1048576,FATURAMENTO!$M$8:$M$1048576,DIARIO!E$8,FATURAMENTO!$I$8:$I$1048576,C363)</f>
        <v>0</v>
      </c>
    </row>
    <row r="364" spans="2:5">
      <c r="B364" s="22" t="str">
        <f t="shared" si="5"/>
        <v>terça-feira</v>
      </c>
      <c r="C364" s="16">
        <v>46378</v>
      </c>
      <c r="D364" s="18">
        <f ca="1">SUMIFS(FATURAMENTO!$H$8:$H$1048576,FATURAMENTO!$M$8:$M$1048576,DIARIO!D$8,FATURAMENTO!$I$8:$I$1048576,DIARIO!C364)</f>
        <v>0</v>
      </c>
      <c r="E364" s="18">
        <f ca="1">SUMIFS(FATURAMENTO!$H$8:$H$1048576,FATURAMENTO!$M$8:$M$1048576,DIARIO!E$8,FATURAMENTO!$I$8:$I$1048576,C364)</f>
        <v>0</v>
      </c>
    </row>
    <row r="365" spans="2:5">
      <c r="B365" s="22" t="str">
        <f t="shared" si="5"/>
        <v>quarta-feira</v>
      </c>
      <c r="C365" s="16">
        <v>46379</v>
      </c>
      <c r="D365" s="18">
        <f ca="1">SUMIFS(FATURAMENTO!$H$8:$H$1048576,FATURAMENTO!$M$8:$M$1048576,DIARIO!D$8,FATURAMENTO!$I$8:$I$1048576,DIARIO!C365)</f>
        <v>0</v>
      </c>
      <c r="E365" s="18">
        <f ca="1">SUMIFS(FATURAMENTO!$H$8:$H$1048576,FATURAMENTO!$M$8:$M$1048576,DIARIO!E$8,FATURAMENTO!$I$8:$I$1048576,C365)</f>
        <v>0</v>
      </c>
    </row>
    <row r="366" spans="2:5">
      <c r="B366" s="22" t="str">
        <f t="shared" si="5"/>
        <v>quinta-feira</v>
      </c>
      <c r="C366" s="16">
        <v>46380</v>
      </c>
      <c r="D366" s="18">
        <f ca="1">SUMIFS(FATURAMENTO!$H$8:$H$1048576,FATURAMENTO!$M$8:$M$1048576,DIARIO!D$8,FATURAMENTO!$I$8:$I$1048576,DIARIO!C366)</f>
        <v>0</v>
      </c>
      <c r="E366" s="18">
        <f ca="1">SUMIFS(FATURAMENTO!$H$8:$H$1048576,FATURAMENTO!$M$8:$M$1048576,DIARIO!E$8,FATURAMENTO!$I$8:$I$1048576,C366)</f>
        <v>0</v>
      </c>
    </row>
    <row r="367" spans="2:5">
      <c r="B367" s="22" t="str">
        <f t="shared" si="5"/>
        <v>sexta-feira</v>
      </c>
      <c r="C367" s="16">
        <v>46381</v>
      </c>
      <c r="D367" s="18">
        <f ca="1">SUMIFS(FATURAMENTO!$H$8:$H$1048576,FATURAMENTO!$M$8:$M$1048576,DIARIO!D$8,FATURAMENTO!$I$8:$I$1048576,DIARIO!C367)</f>
        <v>0</v>
      </c>
      <c r="E367" s="18">
        <f ca="1">SUMIFS(FATURAMENTO!$H$8:$H$1048576,FATURAMENTO!$M$8:$M$1048576,DIARIO!E$8,FATURAMENTO!$I$8:$I$1048576,C367)</f>
        <v>0</v>
      </c>
    </row>
    <row r="368" spans="2:5">
      <c r="B368" s="22" t="str">
        <f t="shared" si="5"/>
        <v>sábado</v>
      </c>
      <c r="C368" s="16">
        <v>46382</v>
      </c>
      <c r="D368" s="18">
        <f ca="1">SUMIFS(FATURAMENTO!$H$8:$H$1048576,FATURAMENTO!$M$8:$M$1048576,DIARIO!D$8,FATURAMENTO!$I$8:$I$1048576,DIARIO!C368)</f>
        <v>0</v>
      </c>
      <c r="E368" s="18">
        <f ca="1">SUMIFS(FATURAMENTO!$H$8:$H$1048576,FATURAMENTO!$M$8:$M$1048576,DIARIO!E$8,FATURAMENTO!$I$8:$I$1048576,C368)</f>
        <v>0</v>
      </c>
    </row>
    <row r="369" spans="2:5">
      <c r="B369" s="22" t="str">
        <f t="shared" si="5"/>
        <v>domingo</v>
      </c>
      <c r="C369" s="16">
        <v>46383</v>
      </c>
      <c r="D369" s="18">
        <f ca="1">SUMIFS(FATURAMENTO!$H$8:$H$1048576,FATURAMENTO!$M$8:$M$1048576,DIARIO!D$8,FATURAMENTO!$I$8:$I$1048576,DIARIO!C369)</f>
        <v>0</v>
      </c>
      <c r="E369" s="18">
        <f ca="1">SUMIFS(FATURAMENTO!$H$8:$H$1048576,FATURAMENTO!$M$8:$M$1048576,DIARIO!E$8,FATURAMENTO!$I$8:$I$1048576,C369)</f>
        <v>0</v>
      </c>
    </row>
    <row r="370" spans="2:5">
      <c r="B370" s="22" t="str">
        <f t="shared" si="5"/>
        <v>segunda-feira</v>
      </c>
      <c r="C370" s="16">
        <v>46384</v>
      </c>
      <c r="D370" s="18">
        <f ca="1">SUMIFS(FATURAMENTO!$H$8:$H$1048576,FATURAMENTO!$M$8:$M$1048576,DIARIO!D$8,FATURAMENTO!$I$8:$I$1048576,DIARIO!C370)</f>
        <v>0</v>
      </c>
      <c r="E370" s="18">
        <f ca="1">SUMIFS(FATURAMENTO!$H$8:$H$1048576,FATURAMENTO!$M$8:$M$1048576,DIARIO!E$8,FATURAMENTO!$I$8:$I$1048576,C370)</f>
        <v>0</v>
      </c>
    </row>
    <row r="371" spans="2:5">
      <c r="B371" s="22" t="str">
        <f t="shared" si="5"/>
        <v>terça-feira</v>
      </c>
      <c r="C371" s="16">
        <v>46385</v>
      </c>
      <c r="D371" s="18">
        <f ca="1">SUMIFS(FATURAMENTO!$H$8:$H$1048576,FATURAMENTO!$M$8:$M$1048576,DIARIO!D$8,FATURAMENTO!$I$8:$I$1048576,DIARIO!C371)</f>
        <v>0</v>
      </c>
      <c r="E371" s="18">
        <f ca="1">SUMIFS(FATURAMENTO!$H$8:$H$1048576,FATURAMENTO!$M$8:$M$1048576,DIARIO!E$8,FATURAMENTO!$I$8:$I$1048576,C371)</f>
        <v>0</v>
      </c>
    </row>
    <row r="372" spans="2:5">
      <c r="B372" s="22" t="str">
        <f t="shared" si="5"/>
        <v>quarta-feira</v>
      </c>
      <c r="C372" s="16">
        <v>46386</v>
      </c>
      <c r="D372" s="18">
        <f ca="1">SUMIFS(FATURAMENTO!$H$8:$H$1048576,FATURAMENTO!$M$8:$M$1048576,DIARIO!D$8,FATURAMENTO!$I$8:$I$1048576,DIARIO!C372)</f>
        <v>0</v>
      </c>
      <c r="E372" s="18">
        <f ca="1">SUMIFS(FATURAMENTO!$H$8:$H$1048576,FATURAMENTO!$M$8:$M$1048576,DIARIO!E$8,FATURAMENTO!$I$8:$I$1048576,C372)</f>
        <v>0</v>
      </c>
    </row>
    <row r="373" spans="2:5">
      <c r="B373" s="22" t="str">
        <f t="shared" si="5"/>
        <v>quinta-feira</v>
      </c>
      <c r="C373" s="16">
        <v>46387</v>
      </c>
      <c r="D373" s="18">
        <f ca="1">SUMIFS(FATURAMENTO!$H$8:$H$1048576,FATURAMENTO!$M$8:$M$1048576,DIARIO!D$8,FATURAMENTO!$I$8:$I$1048576,DIARIO!C373)</f>
        <v>0</v>
      </c>
      <c r="E373" s="18">
        <f ca="1">SUMIFS(FATURAMENTO!$H$8:$H$1048576,FATURAMENTO!$M$8:$M$1048576,DIARIO!E$8,FATURAMENTO!$I$8:$I$1048576,C373)</f>
        <v>0</v>
      </c>
    </row>
    <row r="374" spans="2:5"/>
  </sheetData>
  <mergeCells count="1">
    <mergeCell ref="B4:E5"/>
  </mergeCells>
  <conditionalFormatting sqref="B9:B373">
    <cfRule type="cellIs" dxfId="22" priority="4" stopIfTrue="1" operator="equal">
      <formula>"DOMINGO"</formula>
    </cfRule>
  </conditionalFormatting>
  <conditionalFormatting sqref="B9:E373">
    <cfRule type="expression" dxfId="21" priority="1">
      <formula>$B9="DOMINGO"</formula>
    </cfRule>
    <cfRule type="expression" dxfId="20" priority="2">
      <formula>$B9="SÁBADO"</formula>
    </cfRule>
  </conditionalFormatting>
  <conditionalFormatting sqref="C9:E373">
    <cfRule type="expression" dxfId="19" priority="60">
      <formula>$C9=$B$8</formula>
    </cfRule>
    <cfRule type="expression" dxfId="18" priority="61">
      <formula>$C9&lt;$B$8</formula>
    </cfRule>
  </conditionalFormatting>
  <conditionalFormatting sqref="D8:E8">
    <cfRule type="cellIs" dxfId="17" priority="6" operator="equal">
      <formula>"VENCIDO"</formula>
    </cfRule>
    <cfRule type="cellIs" dxfId="16" priority="7" operator="equal">
      <formula>"A VENCER"</formula>
    </cfRule>
    <cfRule type="expression" dxfId="15" priority="8">
      <formula>#REF!="TROCADO"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2"/>
  <sheetViews>
    <sheetView showGridLines="0" zoomScaleNormal="100" workbookViewId="0">
      <pane xSplit="2" ySplit="5" topLeftCell="C8" activePane="bottomRight" state="frozen"/>
      <selection pane="topRight" activeCell="C1" sqref="C1"/>
      <selection pane="bottomLeft" activeCell="A3" sqref="A3"/>
      <selection pane="bottomRight" activeCell="D23" sqref="D23"/>
    </sheetView>
  </sheetViews>
  <sheetFormatPr defaultColWidth="0" defaultRowHeight="15" customHeight="1" zeroHeight="1"/>
  <cols>
    <col min="1" max="1" width="9.85546875" style="43" customWidth="1"/>
    <col min="2" max="2" width="9.7109375" style="43" customWidth="1"/>
    <col min="3" max="3" width="20.7109375" style="43" customWidth="1"/>
    <col min="4" max="6" width="15.7109375" style="43" customWidth="1"/>
    <col min="7" max="7" width="0.85546875" style="42" customWidth="1"/>
    <col min="8" max="8" width="15.7109375" style="43" customWidth="1"/>
    <col min="9" max="9" width="1.7109375" style="43" customWidth="1"/>
    <col min="10" max="12" width="15.7109375" style="43" customWidth="1"/>
    <col min="13" max="13" width="1.7109375" style="43" customWidth="1"/>
    <col min="14" max="15" width="20.7109375" style="43" customWidth="1"/>
    <col min="16" max="17" width="9.140625" style="43" customWidth="1"/>
    <col min="18" max="16384" width="9.140625" style="43" hidden="1"/>
  </cols>
  <sheetData>
    <row r="1" spans="3:15" ht="15" customHeight="1"/>
    <row r="2" spans="3:15" ht="15" customHeight="1"/>
    <row r="3" spans="3:15" ht="15" customHeight="1"/>
    <row r="4" spans="3:15" ht="18.75" customHeight="1" thickBot="1">
      <c r="C4" s="41"/>
      <c r="D4" s="41"/>
      <c r="E4" s="41"/>
      <c r="F4" s="41"/>
      <c r="H4" s="41"/>
      <c r="I4" s="41"/>
    </row>
    <row r="5" spans="3:15" ht="18.75" customHeight="1" thickBot="1">
      <c r="C5" s="341" t="s">
        <v>159</v>
      </c>
      <c r="D5" s="342"/>
      <c r="E5" s="342"/>
      <c r="F5" s="342"/>
      <c r="G5" s="342"/>
      <c r="H5" s="343"/>
      <c r="J5" s="341" t="s">
        <v>158</v>
      </c>
      <c r="K5" s="342"/>
      <c r="L5" s="343"/>
      <c r="N5" s="339" t="s">
        <v>149</v>
      </c>
      <c r="O5" s="340"/>
    </row>
    <row r="6" spans="3:15" ht="18.75" customHeight="1" thickBot="1">
      <c r="C6" s="116" t="s">
        <v>104</v>
      </c>
      <c r="D6" s="117" t="s">
        <v>85</v>
      </c>
      <c r="E6" s="118" t="s">
        <v>84</v>
      </c>
      <c r="F6" s="119" t="s">
        <v>103</v>
      </c>
      <c r="H6" s="118" t="s">
        <v>86</v>
      </c>
      <c r="J6" s="120" t="s">
        <v>133</v>
      </c>
      <c r="K6" s="121" t="s">
        <v>134</v>
      </c>
      <c r="L6" s="45" t="s">
        <v>103</v>
      </c>
      <c r="N6" s="122" t="s">
        <v>151</v>
      </c>
      <c r="O6" s="122" t="s">
        <v>0</v>
      </c>
    </row>
    <row r="7" spans="3:15" ht="15" customHeight="1">
      <c r="C7" s="54" t="s">
        <v>72</v>
      </c>
      <c r="D7" s="55">
        <f ca="1">SUMIFS(FATURAMENTO!$H$8:$H$1048576,FATURAMENTO!$M$8:$M$1048576,FUNDOS!$D$6,FATURAMENTO!$K$8:$K$1048576,FUNDOS!C7)</f>
        <v>150514.04</v>
      </c>
      <c r="E7" s="56">
        <f ca="1">SUMIFS(FATURAMENTO!$H$8:$H$1048576,FATURAMENTO!$M$8:$M$1048576,$E$6,FATURAMENTO!$K$8:$K$1048576,C7)</f>
        <v>0</v>
      </c>
      <c r="F7" s="57">
        <f t="shared" ref="F7:F15" ca="1" si="0">D7+E7-L7</f>
        <v>150514.04</v>
      </c>
      <c r="H7" s="58">
        <f ca="1">SUMIFS(FATURAMENTO!$H$8:$H$1048576,FATURAMENTO!$M$8:$M$1048576,$H$6,FATURAMENTO!$K$8:$K$1048576,C7)</f>
        <v>67217.11</v>
      </c>
      <c r="J7" s="55">
        <f>SUMIFS(FATURAMENTO!$H$8:$H$1048576,FATURAMENTO!$K$8:$K$1048576,FUNDOS!$C7,FATURAMENTO!$Q$8:$Q$1048576,FUNDOS!$J$6)</f>
        <v>0</v>
      </c>
      <c r="K7" s="55">
        <f>SUMIFS(FATURAMENTO!$H$8:$H$1048576,FATURAMENTO!$K$8:$K$1048576,FUNDOS!$C7,FATURAMENTO!$Q$8:$Q$1048576,$K$6)</f>
        <v>0</v>
      </c>
      <c r="L7" s="55">
        <f>J7</f>
        <v>0</v>
      </c>
      <c r="N7" s="55">
        <f>SUMIFS(FATURAMENTO!$H$8:$H$1048576,FATURAMENTO!$K$8:$K$1048576,FUNDOS!$C7,FATURAMENTO!$S$8:$S$1048576,FUNDOS!$N$6)</f>
        <v>0</v>
      </c>
      <c r="O7" s="55">
        <f>SUMIFS(FATURAMENTO!$H$8:$H$1048576,FATURAMENTO!$K$8:$K$1048576,FUNDOS!$C7,FATURAMENTO!$S$8:$S$1048576,$O$6)</f>
        <v>0</v>
      </c>
    </row>
    <row r="8" spans="3:15" ht="15" customHeight="1">
      <c r="C8" s="59" t="s">
        <v>73</v>
      </c>
      <c r="D8" s="60">
        <f ca="1">SUMIFS(FATURAMENTO!$H$8:$H$1048576,FATURAMENTO!$M$8:$M$1048576,FUNDOS!$D$6,FATURAMENTO!$K$8:$K$1048576,FUNDOS!C8)</f>
        <v>414150.34</v>
      </c>
      <c r="E8" s="61">
        <f ca="1">SUMIFS(FATURAMENTO!$H$8:$H$1048576,FATURAMENTO!$M$8:$M$1048576,$E$6,FATURAMENTO!$K$8:$K$1048576,C8)</f>
        <v>4381.8600000000006</v>
      </c>
      <c r="F8" s="62">
        <f t="shared" ca="1" si="0"/>
        <v>418532.2</v>
      </c>
      <c r="H8" s="63">
        <f ca="1">SUMIFS(FATURAMENTO!$H$8:$H$1048576,FATURAMENTO!$M$8:$M$1048576,$H$6,FATURAMENTO!$K$8:$K$1048576,C8)</f>
        <v>247856.97999999998</v>
      </c>
      <c r="J8" s="60">
        <f>SUMIFS(FATURAMENTO!$H$8:$H$1048576,FATURAMENTO!$K$8:$K$1048576,FUNDOS!$C8,FATURAMENTO!$Q$8:$Q$1048576,FUNDOS!$J$6)</f>
        <v>0</v>
      </c>
      <c r="K8" s="60">
        <f>SUMIFS(FATURAMENTO!$H$8:$H$1048576,FATURAMENTO!$K$8:$K$1048576,FUNDOS!$C8,FATURAMENTO!$Q$8:$Q$1048576,$K$6)</f>
        <v>0</v>
      </c>
      <c r="L8" s="60">
        <f t="shared" ref="L8:L16" si="1">J8</f>
        <v>0</v>
      </c>
      <c r="N8" s="60">
        <f>SUMIFS(FATURAMENTO!$H$8:$H$1048576,FATURAMENTO!$K$8:$K$1048576,FUNDOS!$C8,FATURAMENTO!$S$8:$S$1048576,FUNDOS!$N$6)</f>
        <v>0</v>
      </c>
      <c r="O8" s="60">
        <f>SUMIFS(FATURAMENTO!$H$8:$H$1048576,FATURAMENTO!$K$8:$K$1048576,FUNDOS!$C8,FATURAMENTO!$S$8:$S$1048576,$O$6)</f>
        <v>0</v>
      </c>
    </row>
    <row r="9" spans="3:15" ht="15" customHeight="1">
      <c r="C9" s="64" t="s">
        <v>74</v>
      </c>
      <c r="D9" s="65">
        <f ca="1">SUMIFS(FATURAMENTO!$H$8:$H$1048576,FATURAMENTO!$M$8:$M$1048576,FUNDOS!$D$6,FATURAMENTO!$K$8:$K$1048576,FUNDOS!C9)</f>
        <v>0</v>
      </c>
      <c r="E9" s="66">
        <f ca="1">SUMIFS(FATURAMENTO!$H$8:$H$1048576,FATURAMENTO!$M$8:$M$1048576,$E$6,FATURAMENTO!$K$8:$K$1048576,C9)</f>
        <v>0</v>
      </c>
      <c r="F9" s="67">
        <f t="shared" ca="1" si="0"/>
        <v>0</v>
      </c>
      <c r="H9" s="68">
        <f ca="1">SUMIFS(FATURAMENTO!$H$8:$H$1048576,FATURAMENTO!$M$8:$M$1048576,$H$6,FATURAMENTO!$K$8:$K$1048576,C9)</f>
        <v>0</v>
      </c>
      <c r="J9" s="65">
        <f>SUMIFS(FATURAMENTO!$H$8:$H$1048576,FATURAMENTO!$K$8:$K$1048576,FUNDOS!$C9,FATURAMENTO!$Q$8:$Q$1048576,FUNDOS!$J$6)</f>
        <v>0</v>
      </c>
      <c r="K9" s="65">
        <f>SUMIFS(FATURAMENTO!$H$8:$H$1048576,FATURAMENTO!$K$8:$K$1048576,FUNDOS!$C9,FATURAMENTO!$Q$8:$Q$1048576,$K$6)</f>
        <v>0</v>
      </c>
      <c r="L9" s="65">
        <f t="shared" si="1"/>
        <v>0</v>
      </c>
      <c r="N9" s="65">
        <f>SUMIFS(FATURAMENTO!$H$8:$H$1048576,FATURAMENTO!$K$8:$K$1048576,FUNDOS!$C9,FATURAMENTO!$S$8:$S$1048576,FUNDOS!$N$6)</f>
        <v>0</v>
      </c>
      <c r="O9" s="65">
        <f>SUMIFS(FATURAMENTO!$H$8:$H$1048576,FATURAMENTO!$K$8:$K$1048576,FUNDOS!$C9,FATURAMENTO!$S$8:$S$1048576,$O$6)</f>
        <v>0</v>
      </c>
    </row>
    <row r="10" spans="3:15" ht="15" customHeight="1">
      <c r="C10" s="59" t="s">
        <v>75</v>
      </c>
      <c r="D10" s="60">
        <f ca="1">SUMIFS(FATURAMENTO!$H$8:$H$1048576,FATURAMENTO!$M$8:$M$1048576,FUNDOS!$D$6,FATURAMENTO!$K$8:$K$1048576,FUNDOS!C10)</f>
        <v>4364.1000000000004</v>
      </c>
      <c r="E10" s="61">
        <f ca="1">SUMIFS(FATURAMENTO!$H$8:$H$1048576,FATURAMENTO!$M$8:$M$1048576,$E$6,FATURAMENTO!$K$8:$K$1048576,C10)</f>
        <v>27611</v>
      </c>
      <c r="F10" s="62">
        <f t="shared" ca="1" si="0"/>
        <v>31975.1</v>
      </c>
      <c r="H10" s="63">
        <f ca="1">SUMIFS(FATURAMENTO!$H$8:$H$1048576,FATURAMENTO!$M$8:$M$1048576,$H$6,FATURAMENTO!$K$8:$K$1048576,C10)</f>
        <v>589422.06999999983</v>
      </c>
      <c r="J10" s="60">
        <f>SUMIFS(FATURAMENTO!$H$8:$H$1048576,FATURAMENTO!$K$8:$K$1048576,FUNDOS!$C10,FATURAMENTO!$Q$8:$Q$1048576,FUNDOS!$J$6)</f>
        <v>0</v>
      </c>
      <c r="K10" s="60">
        <f>SUMIFS(FATURAMENTO!$H$8:$H$1048576,FATURAMENTO!$K$8:$K$1048576,FUNDOS!$C10,FATURAMENTO!$Q$8:$Q$1048576,$K$6)</f>
        <v>0</v>
      </c>
      <c r="L10" s="60">
        <f t="shared" si="1"/>
        <v>0</v>
      </c>
      <c r="N10" s="60">
        <f>SUMIFS(FATURAMENTO!$H$8:$H$1048576,FATURAMENTO!$K$8:$K$1048576,FUNDOS!$C10,FATURAMENTO!$S$8:$S$1048576,FUNDOS!$N$6)</f>
        <v>36494</v>
      </c>
      <c r="O10" s="60">
        <f>SUMIFS(FATURAMENTO!$H$8:$H$1048576,FATURAMENTO!$K$8:$K$1048576,FUNDOS!$C10,FATURAMENTO!$S$8:$S$1048576,$O$6)</f>
        <v>0</v>
      </c>
    </row>
    <row r="11" spans="3:15" ht="15" customHeight="1">
      <c r="C11" s="64" t="s">
        <v>76</v>
      </c>
      <c r="D11" s="65">
        <f ca="1">SUMIFS(FATURAMENTO!$H$8:$H$1048576,FATURAMENTO!$M$8:$M$1048576,FUNDOS!$D$6,FATURAMENTO!$K$8:$K$1048576,FUNDOS!C11)</f>
        <v>790342.53</v>
      </c>
      <c r="E11" s="66">
        <f ca="1">SUMIFS(FATURAMENTO!$H$8:$H$1048576,FATURAMENTO!$M$8:$M$1048576,$E$6,FATURAMENTO!$K$8:$K$1048576,C11)</f>
        <v>0</v>
      </c>
      <c r="F11" s="67">
        <f t="shared" ca="1" si="0"/>
        <v>790342.53</v>
      </c>
      <c r="H11" s="68">
        <f ca="1">SUMIFS(FATURAMENTO!$H$8:$H$1048576,FATURAMENTO!$M$8:$M$1048576,$H$6,FATURAMENTO!$K$8:$K$1048576,C11)</f>
        <v>1387214.45</v>
      </c>
      <c r="J11" s="65">
        <f>SUMIFS(FATURAMENTO!$H$8:$H$1048576,FATURAMENTO!$K$8:$K$1048576,FUNDOS!$C11,FATURAMENTO!$Q$8:$Q$1048576,FUNDOS!$J$6)</f>
        <v>0</v>
      </c>
      <c r="K11" s="65">
        <f>SUMIFS(FATURAMENTO!$H$8:$H$1048576,FATURAMENTO!$K$8:$K$1048576,FUNDOS!$C11,FATURAMENTO!$Q$8:$Q$1048576,$K$6)</f>
        <v>0</v>
      </c>
      <c r="L11" s="65">
        <f t="shared" si="1"/>
        <v>0</v>
      </c>
      <c r="N11" s="65">
        <f>SUMIFS(FATURAMENTO!$H$8:$H$1048576,FATURAMENTO!$K$8:$K$1048576,FUNDOS!$C11,FATURAMENTO!$S$8:$S$1048576,FUNDOS!$N$6)</f>
        <v>38628.76</v>
      </c>
      <c r="O11" s="65">
        <f>SUMIFS(FATURAMENTO!$H$8:$H$1048576,FATURAMENTO!$K$8:$K$1048576,FUNDOS!$C11,FATURAMENTO!$S$8:$S$1048576,$O$6)</f>
        <v>0</v>
      </c>
    </row>
    <row r="12" spans="3:15" ht="15" customHeight="1">
      <c r="C12" s="59" t="s">
        <v>77</v>
      </c>
      <c r="D12" s="60">
        <f ca="1">SUMIFS(FATURAMENTO!$H$8:$H$1048576,FATURAMENTO!$M$8:$M$1048576,FUNDOS!$D$6,FATURAMENTO!$K$8:$K$1048576,FUNDOS!C12)</f>
        <v>404006.17000000022</v>
      </c>
      <c r="E12" s="61">
        <f ca="1">SUMIFS(FATURAMENTO!$H$8:$H$1048576,FATURAMENTO!$M$8:$M$1048576,$E$6,FATURAMENTO!$K$8:$K$1048576,C12)</f>
        <v>35045.410000000003</v>
      </c>
      <c r="F12" s="62">
        <f t="shared" ca="1" si="0"/>
        <v>439051.58000000019</v>
      </c>
      <c r="H12" s="63">
        <f ca="1">SUMIFS(FATURAMENTO!$H$8:$H$1048576,FATURAMENTO!$M$8:$M$1048576,$H$6,FATURAMENTO!$K$8:$K$1048576,C12)</f>
        <v>380480.24000000022</v>
      </c>
      <c r="J12" s="60">
        <f>SUMIFS(FATURAMENTO!$H$8:$H$1048576,FATURAMENTO!$K$8:$K$1048576,FUNDOS!$C12,FATURAMENTO!$Q$8:$Q$1048576,FUNDOS!$J$6)</f>
        <v>0</v>
      </c>
      <c r="K12" s="60">
        <f>SUMIFS(FATURAMENTO!$H$8:$H$1048576,FATURAMENTO!$K$8:$K$1048576,FUNDOS!$C12,FATURAMENTO!$Q$8:$Q$1048576,$K$6)</f>
        <v>0</v>
      </c>
      <c r="L12" s="60">
        <f t="shared" si="1"/>
        <v>0</v>
      </c>
      <c r="N12" s="60">
        <f>SUMIFS(FATURAMENTO!$H$8:$H$1048576,FATURAMENTO!$K$8:$K$1048576,FUNDOS!$C12,FATURAMENTO!$S$8:$S$1048576,FUNDOS!$N$6)</f>
        <v>17192</v>
      </c>
      <c r="O12" s="60">
        <f>SUMIFS(FATURAMENTO!$H$8:$H$1048576,FATURAMENTO!$K$8:$K$1048576,FUNDOS!$C12,FATURAMENTO!$S$8:$S$1048576,$O$6)</f>
        <v>0</v>
      </c>
    </row>
    <row r="13" spans="3:15" ht="15" customHeight="1">
      <c r="C13" s="64" t="s">
        <v>136</v>
      </c>
      <c r="D13" s="65">
        <f ca="1">SUMIFS(FATURAMENTO!$H$8:$H$1048576,FATURAMENTO!$M$8:$M$1048576,FUNDOS!$D$6,FATURAMENTO!$K$8:$K$1048576,FUNDOS!C13)</f>
        <v>0</v>
      </c>
      <c r="E13" s="66">
        <f ca="1">SUMIFS(FATURAMENTO!$H$8:$H$1048576,FATURAMENTO!$M$8:$M$1048576,$E$6,FATURAMENTO!$K$8:$K$1048576,C13)</f>
        <v>0</v>
      </c>
      <c r="F13" s="67">
        <f t="shared" ca="1" si="0"/>
        <v>0</v>
      </c>
      <c r="H13" s="68">
        <f ca="1">SUMIFS(FATURAMENTO!$H$8:$H$1048576,FATURAMENTO!$M$8:$M$1048576,$H$6,FATURAMENTO!$K$8:$K$1048576,C13)</f>
        <v>0</v>
      </c>
      <c r="J13" s="65">
        <f>SUMIFS(FATURAMENTO!$H$8:$H$1048576,FATURAMENTO!$K$8:$K$1048576,FUNDOS!$C13,FATURAMENTO!$Q$8:$Q$1048576,FUNDOS!$J$6)</f>
        <v>0</v>
      </c>
      <c r="K13" s="65">
        <f>SUMIFS(FATURAMENTO!$H$8:$H$1048576,FATURAMENTO!$K$8:$K$1048576,FUNDOS!$C13,FATURAMENTO!$Q$8:$Q$1048576,$K$6)</f>
        <v>0</v>
      </c>
      <c r="L13" s="65">
        <f t="shared" si="1"/>
        <v>0</v>
      </c>
      <c r="N13" s="65">
        <f>SUMIFS(FATURAMENTO!$H$8:$H$1048576,FATURAMENTO!$K$8:$K$1048576,FUNDOS!$C13,FATURAMENTO!$S$8:$S$1048576,FUNDOS!$N$6)</f>
        <v>0</v>
      </c>
      <c r="O13" s="65">
        <f>SUMIFS(FATURAMENTO!$H$8:$H$1048576,FATURAMENTO!$K$8:$K$1048576,FUNDOS!$C13,FATURAMENTO!$S$8:$S$1048576,$O$6)</f>
        <v>0</v>
      </c>
    </row>
    <row r="14" spans="3:15" ht="15" customHeight="1">
      <c r="C14" s="59" t="s">
        <v>79</v>
      </c>
      <c r="D14" s="60">
        <f ca="1">SUMIFS(FATURAMENTO!$H$8:$H$1048576,FATURAMENTO!$M$8:$M$1048576,FUNDOS!$D$6,FATURAMENTO!$K$8:$K$1048576,FUNDOS!C14)</f>
        <v>125131.28</v>
      </c>
      <c r="E14" s="61">
        <f ca="1">SUMIFS(FATURAMENTO!$H$8:$H$1048576,FATURAMENTO!$M$8:$M$1048576,$E$6,FATURAMENTO!$K$8:$K$1048576,C14)</f>
        <v>0</v>
      </c>
      <c r="F14" s="62">
        <f t="shared" ca="1" si="0"/>
        <v>125131.28</v>
      </c>
      <c r="H14" s="63">
        <f ca="1">SUMIFS(FATURAMENTO!$H$8:$H$1048576,FATURAMENTO!$M$8:$M$1048576,$H$6,FATURAMENTO!$K$8:$K$1048576,C14)</f>
        <v>345775</v>
      </c>
      <c r="J14" s="60">
        <f>SUMIFS(FATURAMENTO!$H$8:$H$1048576,FATURAMENTO!$K$8:$K$1048576,FUNDOS!$C14,FATURAMENTO!$Q$8:$Q$1048576,FUNDOS!$J$6)</f>
        <v>0</v>
      </c>
      <c r="K14" s="60">
        <f>SUMIFS(FATURAMENTO!$H$8:$H$1048576,FATURAMENTO!$K$8:$K$1048576,FUNDOS!$C14,FATURAMENTO!$Q$8:$Q$1048576,$K$6)</f>
        <v>0</v>
      </c>
      <c r="L14" s="60">
        <f t="shared" si="1"/>
        <v>0</v>
      </c>
      <c r="N14" s="60">
        <f>SUMIFS(FATURAMENTO!$H$8:$H$1048576,FATURAMENTO!$K$8:$K$1048576,FUNDOS!$C14,FATURAMENTO!$S$8:$S$1048576,FUNDOS!$N$6)</f>
        <v>0</v>
      </c>
      <c r="O14" s="60">
        <f>SUMIFS(FATURAMENTO!$H$8:$H$1048576,FATURAMENTO!$K$8:$K$1048576,FUNDOS!$C14,FATURAMENTO!$S$8:$S$1048576,$O$6)</f>
        <v>0</v>
      </c>
    </row>
    <row r="15" spans="3:15" ht="15" customHeight="1">
      <c r="C15" s="64" t="s">
        <v>80</v>
      </c>
      <c r="D15" s="65">
        <f ca="1">SUMIFS(FATURAMENTO!$H$8:$H$1048576,FATURAMENTO!$M$8:$M$1048576,FUNDOS!$D$6,FATURAMENTO!$K$8:$K$1048576,FUNDOS!C15)</f>
        <v>248763.26999999993</v>
      </c>
      <c r="E15" s="66">
        <f ca="1">SUMIFS(FATURAMENTO!$H$8:$H$1048576,FATURAMENTO!$M$8:$M$1048576,$E$6,FATURAMENTO!$K$8:$K$1048576,C15)</f>
        <v>0</v>
      </c>
      <c r="F15" s="67">
        <f t="shared" ca="1" si="0"/>
        <v>248763.26999999993</v>
      </c>
      <c r="H15" s="68">
        <f ca="1">SUMIFS(FATURAMENTO!$H$8:$H$1048576,FATURAMENTO!$M$8:$M$1048576,$H$6,FATURAMENTO!$K$8:$K$1048576,C15)</f>
        <v>26137.19</v>
      </c>
      <c r="J15" s="65">
        <f>SUMIFS(FATURAMENTO!$H$8:$H$1048576,FATURAMENTO!$K$8:$K$1048576,FUNDOS!$C15,FATURAMENTO!$Q$8:$Q$1048576,FUNDOS!$J$6)</f>
        <v>0</v>
      </c>
      <c r="K15" s="65">
        <f>SUMIFS(FATURAMENTO!$H$8:$H$1048576,FATURAMENTO!$K$8:$K$1048576,FUNDOS!$C15,FATURAMENTO!$Q$8:$Q$1048576,$K$6)</f>
        <v>0</v>
      </c>
      <c r="L15" s="65">
        <f t="shared" si="1"/>
        <v>0</v>
      </c>
      <c r="N15" s="65">
        <f>SUMIFS(FATURAMENTO!$H$8:$H$1048576,FATURAMENTO!$K$8:$K$1048576,FUNDOS!$C15,FATURAMENTO!$S$8:$S$1048576,FUNDOS!$N$6)</f>
        <v>0</v>
      </c>
      <c r="O15" s="65">
        <f>SUMIFS(FATURAMENTO!$H$8:$H$1048576,FATURAMENTO!$K$8:$K$1048576,FUNDOS!$C15,FATURAMENTO!$S$8:$S$1048576,$O$6)</f>
        <v>0</v>
      </c>
    </row>
    <row r="16" spans="3:15" ht="15" customHeight="1">
      <c r="C16" s="84" t="s">
        <v>81</v>
      </c>
      <c r="D16" s="85">
        <f ca="1">SUMIFS(FATURAMENTO!$H$8:$H$1048576,FATURAMENTO!$M$8:$M$1048576,FUNDOS!$D$6,FATURAMENTO!$K$8:$K$1048576,FUNDOS!C16)</f>
        <v>33557.589999999997</v>
      </c>
      <c r="E16" s="86">
        <f ca="1">SUMIFS(FATURAMENTO!$H$8:$H$1048576,FATURAMENTO!$M$8:$M$1048576,$E$6,FATURAMENTO!$K$8:$K$1048576,C16)</f>
        <v>22669.17</v>
      </c>
      <c r="F16" s="87">
        <f ca="1">D16+E16-L16</f>
        <v>54893.429999999993</v>
      </c>
      <c r="H16" s="88">
        <f ca="1">SUMIFS(FATURAMENTO!$H$8:$H$1048576,FATURAMENTO!$M$8:$M$1048576,$H$6,FATURAMENTO!$K$8:$K$1048576,C16)</f>
        <v>361255.92000000004</v>
      </c>
      <c r="J16" s="85">
        <f>SUMIFS(FATURAMENTO!$H$8:$H$1048576,FATURAMENTO!$K$8:$K$1048576,FUNDOS!$C16,FATURAMENTO!$Q$8:$Q$1048576,FUNDOS!$J$6)</f>
        <v>1333.33</v>
      </c>
      <c r="K16" s="85">
        <f>SUMIFS(FATURAMENTO!$H$8:$H$1048576,FATURAMENTO!$K$8:$K$1048576,FUNDOS!$C16,FATURAMENTO!$Q$8:$Q$1048576,$K$6)</f>
        <v>4540</v>
      </c>
      <c r="L16" s="85">
        <f t="shared" si="1"/>
        <v>1333.33</v>
      </c>
      <c r="N16" s="85">
        <f>SUMIFS(FATURAMENTO!$H$8:$H$1048576,FATURAMENTO!$K$8:$K$1048576,FUNDOS!$C16,FATURAMENTO!$S$8:$S$1048576,FUNDOS!$N$6)</f>
        <v>0</v>
      </c>
      <c r="O16" s="85">
        <f>SUMIFS(FATURAMENTO!$H$8:$H$1048576,FATURAMENTO!$K$8:$K$1048576,FUNDOS!$C16,FATURAMENTO!$S$8:$S$1048576,$O$6)</f>
        <v>1333.33</v>
      </c>
    </row>
    <row r="17" spans="3:15" ht="15" customHeight="1">
      <c r="C17" s="64" t="s">
        <v>381</v>
      </c>
      <c r="D17" s="65">
        <f ca="1">SUMIFS(FATURAMENTO!$H$8:$H$1048576,FATURAMENTO!$M$8:$M$1048576,FUNDOS!$D$6,FATURAMENTO!$K$8:$K$1048576,FUNDOS!C17)</f>
        <v>410814.80000000028</v>
      </c>
      <c r="E17" s="66">
        <f ca="1">SUMIFS(FATURAMENTO!$H$8:$H$1048576,FATURAMENTO!$M$8:$M$1048576,$E$6,FATURAMENTO!$K$8:$K$1048576,C17)</f>
        <v>15986.080000000002</v>
      </c>
      <c r="F17" s="67">
        <f ca="1">D17+E17-L17</f>
        <v>426800.8800000003</v>
      </c>
      <c r="H17" s="68">
        <f ca="1">SUMIFS(FATURAMENTO!$H$8:$H$1048576,FATURAMENTO!$M$8:$M$1048576,$H$6,FATURAMENTO!$K$8:$K$1048576,C17)</f>
        <v>80807.239999999991</v>
      </c>
      <c r="J17" s="65">
        <f>SUMIFS(FATURAMENTO!$H$8:$H$1048576,FATURAMENTO!$K$8:$K$1048576,FUNDOS!$C17,FATURAMENTO!$Q$8:$Q$1048576,FUNDOS!$J$6)</f>
        <v>0</v>
      </c>
      <c r="K17" s="65">
        <f>SUMIFS(FATURAMENTO!$H$8:$H$1048576,FATURAMENTO!$K$8:$K$1048576,FUNDOS!$C17,FATURAMENTO!$Q$8:$Q$1048576,$K$6)</f>
        <v>7894.96</v>
      </c>
      <c r="L17" s="65">
        <f t="shared" ref="L17" si="2">J17</f>
        <v>0</v>
      </c>
      <c r="N17" s="65">
        <f>SUMIFS(FATURAMENTO!$H$8:$H$1048576,FATURAMENTO!$K$8:$K$1048576,FUNDOS!$C17,FATURAMENTO!$S$8:$S$1048576,FUNDOS!$N$6)</f>
        <v>0</v>
      </c>
      <c r="O17" s="65">
        <f>SUMIFS(FATURAMENTO!$H$8:$H$1048576,FATURAMENTO!$K$8:$K$1048576,FUNDOS!$C17,FATURAMENTO!$S$8:$S$1048576,$O$6)</f>
        <v>0</v>
      </c>
    </row>
    <row r="18" spans="3:15" ht="15" hidden="1" customHeight="1">
      <c r="C18" s="84"/>
      <c r="D18" s="85"/>
      <c r="E18" s="86"/>
      <c r="F18" s="87"/>
      <c r="H18" s="88"/>
      <c r="J18" s="85"/>
      <c r="K18" s="85"/>
      <c r="L18" s="85"/>
      <c r="N18" s="85"/>
      <c r="O18" s="85"/>
    </row>
    <row r="19" spans="3:15" ht="15" hidden="1" customHeight="1">
      <c r="C19" s="89"/>
      <c r="D19" s="90"/>
      <c r="E19" s="91"/>
      <c r="F19" s="92"/>
      <c r="H19" s="93"/>
      <c r="J19" s="90"/>
      <c r="K19" s="90"/>
      <c r="L19" s="90"/>
      <c r="N19" s="90"/>
      <c r="O19" s="90"/>
    </row>
    <row r="20" spans="3:15" ht="15" hidden="1" customHeight="1">
      <c r="C20" s="84"/>
      <c r="D20" s="85"/>
      <c r="E20" s="86"/>
      <c r="F20" s="87">
        <f t="shared" ref="F20:F21" si="3">D20+E20</f>
        <v>0</v>
      </c>
      <c r="H20" s="88">
        <f ca="1">SUMIFS(FATURAMENTO!$H$8:$H$1048576,FATURAMENTO!$M$8:$M$1048576,$H$6,FATURAMENTO!$K$8:$K$1048576,C20)</f>
        <v>0</v>
      </c>
      <c r="J20" s="85"/>
      <c r="K20" s="85"/>
      <c r="L20" s="85">
        <f>SUMIFS(FATURAMENTO!$H$8:$H$1048576,FATURAMENTO!$Q$8:$Q$1048576,FUNDOS!$L$6,FATURAMENTO!$K$8:$K$1048576,FUNDOS!$C20)</f>
        <v>0</v>
      </c>
      <c r="N20" s="85"/>
      <c r="O20" s="85"/>
    </row>
    <row r="21" spans="3:15" ht="15" hidden="1" customHeight="1">
      <c r="C21" s="64"/>
      <c r="D21" s="65"/>
      <c r="E21" s="66"/>
      <c r="F21" s="67">
        <f t="shared" si="3"/>
        <v>0</v>
      </c>
      <c r="H21" s="68">
        <f ca="1">SUMIFS(FATURAMENTO!$H$8:$H$1048576,FATURAMENTO!$M$8:$M$1048576,$H$6,FATURAMENTO!$K$8:$K$1048576,C21)</f>
        <v>0</v>
      </c>
      <c r="J21" s="65"/>
      <c r="K21" s="65"/>
      <c r="L21" s="65">
        <f>SUMIFS(FATURAMENTO!$H$8:$H$1048576,FATURAMENTO!$Q$8:$Q$1048576,FUNDOS!$L$6,FATURAMENTO!$K$8:$K$1048576,FUNDOS!$C21)</f>
        <v>0</v>
      </c>
      <c r="N21" s="65"/>
      <c r="O21" s="65"/>
    </row>
    <row r="22" spans="3:15" ht="15" customHeight="1" thickBot="1">
      <c r="C22" s="94"/>
      <c r="D22" s="95">
        <f ca="1">SUM(D7:D16)</f>
        <v>2170829.3199999998</v>
      </c>
      <c r="E22" s="95">
        <f ca="1">SUM(E7:E16)</f>
        <v>89707.44</v>
      </c>
      <c r="F22" s="96">
        <f ca="1">SUM(F7:F16)</f>
        <v>2259203.4300000002</v>
      </c>
      <c r="H22" s="95">
        <f ca="1">SUM(H7:H16)</f>
        <v>3405358.96</v>
      </c>
      <c r="J22" s="95">
        <f>SUM(J7:J21)</f>
        <v>1333.33</v>
      </c>
      <c r="K22" s="95">
        <f>SUM(K7:K21)</f>
        <v>12434.96</v>
      </c>
      <c r="L22" s="95">
        <f>SUM(L7:L21)</f>
        <v>1333.33</v>
      </c>
      <c r="N22" s="95">
        <f>SUM(N7:N21)</f>
        <v>92314.760000000009</v>
      </c>
      <c r="O22" s="95">
        <f>SUM(O7:O21)</f>
        <v>1333.33</v>
      </c>
    </row>
    <row r="23" spans="3:15" ht="15" customHeight="1"/>
    <row r="24" spans="3:15" ht="15" customHeight="1"/>
    <row r="25" spans="3:15" ht="15" customHeight="1"/>
    <row r="26" spans="3:15" ht="15" customHeight="1"/>
    <row r="27" spans="3:15" ht="15" customHeight="1"/>
    <row r="28" spans="3:15" ht="15" customHeight="1"/>
    <row r="29" spans="3:15" ht="15" customHeight="1"/>
    <row r="30" spans="3:15" ht="15" customHeight="1"/>
    <row r="31" spans="3:15" ht="15" customHeight="1"/>
    <row r="32" spans="3:15" ht="15" customHeight="1"/>
  </sheetData>
  <autoFilter ref="C5:H17" xr:uid="{00000000-0001-0000-0900-000000000000}">
    <filterColumn colId="0" showButton="0"/>
    <filterColumn colId="1" showButton="0"/>
    <filterColumn colId="2" showButton="0"/>
    <filterColumn colId="3" showButton="0"/>
    <filterColumn colId="4" showButton="0"/>
  </autoFilter>
  <mergeCells count="3">
    <mergeCell ref="N5:O5"/>
    <mergeCell ref="J5:L5"/>
    <mergeCell ref="C5:H5"/>
  </mergeCells>
  <conditionalFormatting sqref="D6:F6">
    <cfRule type="cellIs" dxfId="14" priority="12" operator="equal">
      <formula>"VENCIDO"</formula>
    </cfRule>
    <cfRule type="cellIs" dxfId="13" priority="13" operator="equal">
      <formula>"A VENCER"</formula>
    </cfRule>
    <cfRule type="expression" dxfId="12" priority="14">
      <formula>#REF!="TROCADO"</formula>
    </cfRule>
  </conditionalFormatting>
  <conditionalFormatting sqref="H6">
    <cfRule type="cellIs" dxfId="11" priority="5" operator="equal">
      <formula>"LIQUIDADO"</formula>
    </cfRule>
    <cfRule type="expression" dxfId="10" priority="6">
      <formula>#REF!="TROCADO"</formula>
    </cfRule>
    <cfRule type="cellIs" dxfId="9" priority="7" operator="equal">
      <formula>"VENCIDO"</formula>
    </cfRule>
    <cfRule type="cellIs" dxfId="8" priority="8" operator="equal">
      <formula>"A VENCER"</formula>
    </cfRule>
  </conditionalFormatting>
  <conditionalFormatting sqref="J6:K6">
    <cfRule type="cellIs" dxfId="7" priority="1" operator="equal">
      <formula>"RECEBIDO"</formula>
    </cfRule>
    <cfRule type="cellIs" dxfId="6" priority="2" operator="equal">
      <formula>"A RECEBER"</formula>
    </cfRule>
    <cfRule type="expression" dxfId="5" priority="3">
      <formula>"SE+$O$4=""RECOMPRADO"""</formula>
    </cfRule>
    <cfRule type="expression" dxfId="4" priority="4">
      <formula>#REF!="TROCADO"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BASE!$E$2:$E$4</xm:f>
          </x14:formula1>
          <xm:sqref>J6:K6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  <pageSetUpPr fitToPage="1"/>
  </sheetPr>
  <dimension ref="A5:U91"/>
  <sheetViews>
    <sheetView showGridLines="0" zoomScaleNormal="100" workbookViewId="0">
      <pane ySplit="12" topLeftCell="A13" activePane="bottomLeft" state="frozen"/>
      <selection pane="bottomLeft" activeCell="B34" sqref="B34"/>
    </sheetView>
  </sheetViews>
  <sheetFormatPr defaultColWidth="9.28515625" defaultRowHeight="15.75"/>
  <cols>
    <col min="1" max="1" width="20.7109375" style="166" bestFit="1" customWidth="1"/>
    <col min="2" max="2" width="23.85546875" style="155" customWidth="1"/>
    <col min="3" max="3" width="27.42578125" style="155" customWidth="1"/>
    <col min="4" max="4" width="27.28515625" style="166" bestFit="1" customWidth="1"/>
    <col min="5" max="5" width="20.42578125" style="175" customWidth="1"/>
    <col min="6" max="6" width="2.28515625" style="175" customWidth="1"/>
    <col min="7" max="7" width="20.7109375" style="175" customWidth="1"/>
    <col min="8" max="8" width="26.140625" style="175" bestFit="1" customWidth="1"/>
    <col min="9" max="9" width="22.28515625" style="193" customWidth="1"/>
    <col min="10" max="10" width="20.7109375" style="175" customWidth="1"/>
    <col min="11" max="11" width="36.140625" style="175" bestFit="1" customWidth="1"/>
    <col min="12" max="12" width="18.28515625" style="175" bestFit="1" customWidth="1"/>
    <col min="13" max="13" width="22.7109375" style="175" bestFit="1" customWidth="1"/>
    <col min="14" max="14" width="24.42578125" style="175" bestFit="1" customWidth="1"/>
    <col min="15" max="15" width="24" style="175" bestFit="1" customWidth="1"/>
    <col min="16" max="16" width="14.28515625" style="175" bestFit="1" customWidth="1"/>
    <col min="17" max="17" width="26.42578125" style="175" customWidth="1"/>
    <col min="18" max="18" width="16.28515625" style="175" bestFit="1" customWidth="1"/>
    <col min="19" max="19" width="24.28515625" style="175" bestFit="1" customWidth="1"/>
    <col min="20" max="16384" width="9.28515625" style="175"/>
  </cols>
  <sheetData>
    <row r="5" spans="1:21" s="172" customFormat="1" ht="26.25">
      <c r="A5" s="344" t="s">
        <v>168</v>
      </c>
      <c r="B5" s="344"/>
      <c r="C5" s="344"/>
      <c r="D5" s="344"/>
      <c r="E5" s="344"/>
      <c r="J5" s="157"/>
    </row>
    <row r="6" spans="1:21">
      <c r="D6" s="173" t="s">
        <v>171</v>
      </c>
      <c r="E6" s="174">
        <f>AVERAGE(Tabela46[PRAZO D+X])</f>
        <v>46.857142857142854</v>
      </c>
      <c r="H6" s="157"/>
      <c r="I6" s="176"/>
      <c r="J6" s="157"/>
    </row>
    <row r="7" spans="1:21">
      <c r="A7" s="346" t="s">
        <v>172</v>
      </c>
      <c r="B7" s="347">
        <v>46094</v>
      </c>
      <c r="C7" s="348"/>
      <c r="D7" s="206" t="s">
        <v>173</v>
      </c>
      <c r="E7" s="207">
        <v>3</v>
      </c>
      <c r="H7" s="157" t="s">
        <v>174</v>
      </c>
      <c r="I7" s="177"/>
      <c r="J7" s="157"/>
    </row>
    <row r="8" spans="1:21">
      <c r="A8" s="346"/>
      <c r="B8" s="347"/>
      <c r="C8" s="348"/>
      <c r="D8" s="173" t="s">
        <v>175</v>
      </c>
      <c r="E8" s="208">
        <f>IF(ISERROR(SUM(E13:E352)/SUM(B13:B351))=TRUE,0,(SUM(E13:E352)/SUM(B13:B351)))</f>
        <v>49.968189324824834</v>
      </c>
      <c r="H8" s="157">
        <v>52.635361084699419</v>
      </c>
      <c r="I8" s="178"/>
      <c r="J8" s="157"/>
    </row>
    <row r="9" spans="1:21">
      <c r="A9" s="157"/>
      <c r="B9" s="156"/>
      <c r="C9" s="157"/>
      <c r="D9" s="158"/>
      <c r="E9" s="179"/>
      <c r="I9" s="175"/>
    </row>
    <row r="10" spans="1:21" ht="26.25">
      <c r="A10" s="167" t="s">
        <v>176</v>
      </c>
      <c r="B10" s="168">
        <f>SUM(Tabela46[VALOR])</f>
        <v>62369</v>
      </c>
      <c r="C10" s="168"/>
      <c r="D10" s="167" t="s">
        <v>177</v>
      </c>
      <c r="E10" s="169">
        <f>COUNT(B13:B90)</f>
        <v>21</v>
      </c>
      <c r="H10" s="345" t="s">
        <v>169</v>
      </c>
      <c r="I10" s="345"/>
      <c r="K10" s="345" t="s">
        <v>170</v>
      </c>
      <c r="L10" s="345"/>
      <c r="M10" s="345"/>
      <c r="N10" s="345"/>
      <c r="O10" s="345"/>
    </row>
    <row r="11" spans="1:21">
      <c r="A11" s="158"/>
      <c r="B11" s="157"/>
      <c r="C11" s="170"/>
      <c r="D11" s="170"/>
      <c r="E11" s="157"/>
      <c r="I11" s="175"/>
    </row>
    <row r="12" spans="1:21">
      <c r="A12" s="171" t="s">
        <v>178</v>
      </c>
      <c r="B12" s="159" t="s">
        <v>110</v>
      </c>
      <c r="C12" s="159" t="s">
        <v>179</v>
      </c>
      <c r="D12" s="159" t="s">
        <v>180</v>
      </c>
      <c r="E12" s="159" t="s">
        <v>181</v>
      </c>
      <c r="H12" s="180" t="s">
        <v>254</v>
      </c>
      <c r="I12" s="181" t="s">
        <v>81</v>
      </c>
      <c r="K12" s="182" t="s">
        <v>183</v>
      </c>
      <c r="L12" s="157" t="s">
        <v>184</v>
      </c>
      <c r="M12" s="157" t="s">
        <v>185</v>
      </c>
      <c r="N12" s="157" t="s">
        <v>186</v>
      </c>
      <c r="O12" s="157" t="s">
        <v>170</v>
      </c>
      <c r="P12" s="157" t="s">
        <v>187</v>
      </c>
      <c r="Q12" s="157" t="s">
        <v>188</v>
      </c>
      <c r="R12" s="157" t="s">
        <v>189</v>
      </c>
      <c r="S12" s="157" t="s">
        <v>190</v>
      </c>
      <c r="T12" s="157" t="s">
        <v>191</v>
      </c>
      <c r="U12" s="157" t="s">
        <v>192</v>
      </c>
    </row>
    <row r="13" spans="1:21">
      <c r="A13" s="160">
        <v>46121</v>
      </c>
      <c r="B13" s="183">
        <v>1878</v>
      </c>
      <c r="C13" s="161">
        <f>IF(A13="","",A13-$B$7)</f>
        <v>27</v>
      </c>
      <c r="D13" s="162">
        <f t="shared" ref="D13:D76" si="0">IF(A13="","",IF($B$7="","",IF(OR(WEEKDAY(A13)=5,WEEKDAY(A13)=6,WEEKDAY(A13)=7),A13-$B$7+$E$7+2,IF(WEEKDAY(A13)=1,A13-$B$7+$E$7+1,A13-$B$7+$E$7))))</f>
        <v>32</v>
      </c>
      <c r="E13" s="184">
        <f>IF(D13="","",IF(B13="","",IF(A13="","",IF($B$7="","",(D13*B13)))))</f>
        <v>60096</v>
      </c>
      <c r="H13" s="185" t="s">
        <v>193</v>
      </c>
      <c r="I13" s="181" t="s">
        <v>194</v>
      </c>
      <c r="K13" s="175" t="str">
        <f>IFERROR(CONCATENATE(Tabela3[[#This Row],[INSTITUICAO]]," ",Tabela3[[#This Row],[TIPO OPERACAO]]," ",Tabela3[[#This Row],[TIPO INSTITUICAO]])," ")</f>
        <v>OLAM BOLETO FIDC</v>
      </c>
      <c r="L13" s="175" t="s">
        <v>195</v>
      </c>
      <c r="M13" s="175" t="s">
        <v>194</v>
      </c>
      <c r="N13" s="175" t="s">
        <v>196</v>
      </c>
      <c r="O13" s="186">
        <v>2.3E-2</v>
      </c>
    </row>
    <row r="14" spans="1:21">
      <c r="A14" s="163">
        <v>46128</v>
      </c>
      <c r="B14" s="187">
        <v>1368</v>
      </c>
      <c r="C14" s="164">
        <f t="shared" ref="C14:C77" si="1">IF(A14="","",A14-$B$7)</f>
        <v>34</v>
      </c>
      <c r="D14" s="165">
        <f t="shared" si="0"/>
        <v>39</v>
      </c>
      <c r="E14" s="188">
        <f t="shared" ref="E14:E77" si="2">IF(D14="","",IF(B14="","",IF(A14="","",IF($B$7="","",(D14*B14)))))</f>
        <v>53352</v>
      </c>
      <c r="H14" s="189" t="s">
        <v>186</v>
      </c>
      <c r="I14" s="181" t="s">
        <v>196</v>
      </c>
      <c r="K14" s="175" t="str">
        <f>IFERROR(CONCATENATE(Tabela3[[#This Row],[INSTITUICAO]]," ",Tabela3[[#This Row],[TIPO OPERACAO]]," ",Tabela3[[#This Row],[TIPO INSTITUICAO]])," ")</f>
        <v>RDF BOLETO FIDC</v>
      </c>
      <c r="L14" s="175" t="s">
        <v>197</v>
      </c>
      <c r="M14" s="175" t="s">
        <v>194</v>
      </c>
      <c r="N14" s="175" t="s">
        <v>196</v>
      </c>
      <c r="O14" s="190">
        <v>1.7500000000000002E-2</v>
      </c>
    </row>
    <row r="15" spans="1:21">
      <c r="A15" s="160">
        <v>46135</v>
      </c>
      <c r="B15" s="183">
        <v>1368</v>
      </c>
      <c r="C15" s="161">
        <f t="shared" si="1"/>
        <v>41</v>
      </c>
      <c r="D15" s="162">
        <f t="shared" si="0"/>
        <v>46</v>
      </c>
      <c r="E15" s="184">
        <f t="shared" si="2"/>
        <v>62928</v>
      </c>
      <c r="H15" s="185" t="s">
        <v>170</v>
      </c>
      <c r="I15" s="191">
        <v>4.0300000000000002E-2</v>
      </c>
      <c r="K15" s="175" t="str">
        <f>IFERROR(CONCATENATE(Tabela3[[#This Row],[INSTITUICAO]]," ",Tabela3[[#This Row],[TIPO OPERACAO]]," ",Tabela3[[#This Row],[TIPO INSTITUICAO]])," ")</f>
        <v>ACREDITAR BOLETO FIDC</v>
      </c>
      <c r="L15" s="175" t="s">
        <v>198</v>
      </c>
      <c r="M15" s="175" t="s">
        <v>194</v>
      </c>
      <c r="N15" s="175" t="s">
        <v>196</v>
      </c>
      <c r="O15" s="190">
        <v>2.5000000000000001E-2</v>
      </c>
    </row>
    <row r="16" spans="1:21">
      <c r="A16" s="163">
        <v>46142</v>
      </c>
      <c r="B16" s="187">
        <v>1368</v>
      </c>
      <c r="C16" s="164">
        <f t="shared" si="1"/>
        <v>48</v>
      </c>
      <c r="D16" s="165">
        <f t="shared" si="0"/>
        <v>53</v>
      </c>
      <c r="E16" s="188">
        <f t="shared" si="2"/>
        <v>72504</v>
      </c>
      <c r="H16" s="185" t="s">
        <v>199</v>
      </c>
      <c r="I16" s="192">
        <f>E8</f>
        <v>49.968189324824834</v>
      </c>
      <c r="K16" s="175" t="str">
        <f>IFERROR(CONCATENATE(Tabela3[[#This Row],[INSTITUICAO]]," ",Tabela3[[#This Row],[TIPO OPERACAO]]," ",Tabela3[[#This Row],[TIPO INSTITUICAO]])," ")</f>
        <v>KREDITARE BOLETO FIDC</v>
      </c>
      <c r="L16" s="175" t="s">
        <v>200</v>
      </c>
      <c r="M16" s="175" t="s">
        <v>194</v>
      </c>
      <c r="N16" s="175" t="s">
        <v>196</v>
      </c>
      <c r="O16" s="190">
        <v>2.1999999999999999E-2</v>
      </c>
    </row>
    <row r="17" spans="1:15">
      <c r="A17" s="160">
        <v>46121</v>
      </c>
      <c r="B17" s="183">
        <v>1368</v>
      </c>
      <c r="C17" s="161">
        <f t="shared" si="1"/>
        <v>27</v>
      </c>
      <c r="D17" s="162">
        <f t="shared" si="0"/>
        <v>32</v>
      </c>
      <c r="E17" s="184">
        <f t="shared" si="2"/>
        <v>43776</v>
      </c>
      <c r="H17" s="185" t="s">
        <v>201</v>
      </c>
      <c r="I17" s="192">
        <f>B10</f>
        <v>62369</v>
      </c>
      <c r="J17" s="193"/>
      <c r="K17" s="175" t="str">
        <f>IFERROR(CONCATENATE(Tabela3[[#This Row],[INSTITUICAO]]," ",Tabela3[[#This Row],[TIPO OPERACAO]]," ",Tabela3[[#This Row],[TIPO INSTITUICAO]])," ")</f>
        <v>ASIA BOLETO FIDC</v>
      </c>
      <c r="L17" s="175" t="s">
        <v>202</v>
      </c>
      <c r="M17" s="175" t="s">
        <v>194</v>
      </c>
      <c r="N17" s="175" t="s">
        <v>196</v>
      </c>
      <c r="O17" s="190">
        <v>1.7999999999999999E-2</v>
      </c>
    </row>
    <row r="18" spans="1:15" ht="16.5" thickBot="1">
      <c r="A18" s="163">
        <v>46128</v>
      </c>
      <c r="B18" s="187">
        <v>1368</v>
      </c>
      <c r="C18" s="164">
        <f t="shared" si="1"/>
        <v>34</v>
      </c>
      <c r="D18" s="165">
        <f t="shared" si="0"/>
        <v>39</v>
      </c>
      <c r="E18" s="188">
        <f t="shared" si="2"/>
        <v>53352</v>
      </c>
      <c r="H18" s="194" t="s">
        <v>203</v>
      </c>
      <c r="I18" s="195">
        <v>44675.69</v>
      </c>
      <c r="J18" s="170"/>
      <c r="K18" s="175" t="str">
        <f>IFERROR(CONCATENATE(Tabela3[[#This Row],[INSTITUICAO]]," ",Tabela3[[#This Row],[TIPO OPERACAO]]," ",Tabela3[[#This Row],[TIPO INSTITUICAO]])," ")</f>
        <v>MOKA FOMENTO FIDC</v>
      </c>
      <c r="L18" s="175" t="s">
        <v>204</v>
      </c>
      <c r="M18" s="175" t="s">
        <v>205</v>
      </c>
      <c r="N18" s="175" t="s">
        <v>196</v>
      </c>
      <c r="O18" s="190">
        <v>3.1E-2</v>
      </c>
    </row>
    <row r="19" spans="1:15" ht="16.5" thickBot="1">
      <c r="A19" s="160">
        <v>46135</v>
      </c>
      <c r="B19" s="183">
        <v>1368</v>
      </c>
      <c r="C19" s="161">
        <f t="shared" si="1"/>
        <v>41</v>
      </c>
      <c r="D19" s="162">
        <f t="shared" si="0"/>
        <v>46</v>
      </c>
      <c r="E19" s="184">
        <f t="shared" si="2"/>
        <v>62928</v>
      </c>
      <c r="H19" s="196" t="s">
        <v>206</v>
      </c>
      <c r="I19" s="197">
        <f>I17-I18</f>
        <v>17693.309999999998</v>
      </c>
      <c r="K19" s="175" t="str">
        <f>IFERROR(CONCATENATE(Tabela3[[#This Row],[INSTITUICAO]]," ",Tabela3[[#This Row],[TIPO OPERACAO]]," ",Tabela3[[#This Row],[TIPO INSTITUICAO]])," ")</f>
        <v>KREDITARE CHEQUE FIDC</v>
      </c>
      <c r="L19" s="175" t="s">
        <v>200</v>
      </c>
      <c r="M19" s="175" t="s">
        <v>207</v>
      </c>
      <c r="N19" s="175" t="s">
        <v>196</v>
      </c>
      <c r="O19" s="190">
        <v>2.5000000000000001E-2</v>
      </c>
    </row>
    <row r="20" spans="1:15">
      <c r="A20" s="163">
        <v>46142</v>
      </c>
      <c r="B20" s="187">
        <v>1368</v>
      </c>
      <c r="C20" s="164">
        <f t="shared" si="1"/>
        <v>48</v>
      </c>
      <c r="D20" s="165">
        <f t="shared" si="0"/>
        <v>53</v>
      </c>
      <c r="E20" s="188">
        <f t="shared" si="2"/>
        <v>72504</v>
      </c>
      <c r="H20" s="198" t="s">
        <v>208</v>
      </c>
      <c r="I20" s="199">
        <v>0</v>
      </c>
      <c r="K20" s="175" t="str">
        <f>IFERROR(CONCATENATE(Tabela3[[#This Row],[INSTITUICAO]]," ",Tabela3[[#This Row],[TIPO OPERACAO]]," ",Tabela3[[#This Row],[TIPO INSTITUICAO]])," ")</f>
        <v>VIP BOLETO FACT</v>
      </c>
      <c r="L20" s="175" t="s">
        <v>209</v>
      </c>
      <c r="M20" s="175" t="s">
        <v>194</v>
      </c>
      <c r="N20" s="175" t="s">
        <v>210</v>
      </c>
      <c r="O20" s="190">
        <v>1.7999999999999999E-2</v>
      </c>
    </row>
    <row r="21" spans="1:15" ht="16.5" thickBot="1">
      <c r="A21" s="160">
        <v>46127</v>
      </c>
      <c r="B21" s="183">
        <v>1108</v>
      </c>
      <c r="C21" s="161">
        <f t="shared" si="1"/>
        <v>33</v>
      </c>
      <c r="D21" s="162">
        <f t="shared" si="0"/>
        <v>36</v>
      </c>
      <c r="E21" s="184">
        <f t="shared" si="2"/>
        <v>39888</v>
      </c>
      <c r="H21" s="198" t="s">
        <v>211</v>
      </c>
      <c r="I21" s="200">
        <f>I20*I17</f>
        <v>0</v>
      </c>
      <c r="K21" s="175" t="str">
        <f>IFERROR(CONCATENATE(Tabela3[[#This Row],[INSTITUICAO]]," ",Tabela3[[#This Row],[TIPO OPERACAO]]," ",Tabela3[[#This Row],[TIPO INSTITUICAO]])," ")</f>
        <v>LANA BOLETO FIDC</v>
      </c>
      <c r="L21" s="175" t="s">
        <v>212</v>
      </c>
      <c r="M21" s="175" t="s">
        <v>194</v>
      </c>
      <c r="N21" s="175" t="s">
        <v>196</v>
      </c>
      <c r="O21" s="190">
        <v>1.9E-2</v>
      </c>
    </row>
    <row r="22" spans="1:15" ht="16.5" thickBot="1">
      <c r="A22" s="163">
        <v>46142</v>
      </c>
      <c r="B22" s="187">
        <v>1108</v>
      </c>
      <c r="C22" s="164">
        <f t="shared" si="1"/>
        <v>48</v>
      </c>
      <c r="D22" s="165">
        <f t="shared" si="0"/>
        <v>53</v>
      </c>
      <c r="E22" s="188">
        <f t="shared" si="2"/>
        <v>58724</v>
      </c>
      <c r="H22" s="196" t="s">
        <v>103</v>
      </c>
      <c r="I22" s="197">
        <f>SUM(I19:I20)</f>
        <v>17693.309999999998</v>
      </c>
      <c r="K22" s="175" t="str">
        <f>IFERROR(CONCATENATE(Tabela3[[#This Row],[INSTITUICAO]]," ",Tabela3[[#This Row],[TIPO OPERACAO]]," ",Tabela3[[#This Row],[TIPO INSTITUICAO]])," ")</f>
        <v>IOSAN BOLETO FIDC</v>
      </c>
      <c r="L22" s="175" t="s">
        <v>213</v>
      </c>
      <c r="M22" s="175" t="s">
        <v>194</v>
      </c>
      <c r="N22" s="175" t="s">
        <v>196</v>
      </c>
      <c r="O22" s="190">
        <v>2.3E-2</v>
      </c>
    </row>
    <row r="23" spans="1:15">
      <c r="A23" s="160">
        <v>46157</v>
      </c>
      <c r="B23" s="183">
        <v>9972</v>
      </c>
      <c r="C23" s="161">
        <f t="shared" si="1"/>
        <v>63</v>
      </c>
      <c r="D23" s="162">
        <f t="shared" si="0"/>
        <v>68</v>
      </c>
      <c r="E23" s="184">
        <f t="shared" si="2"/>
        <v>678096</v>
      </c>
      <c r="K23" s="175" t="str">
        <f>IFERROR(CONCATENATE(Tabela3[[#This Row],[INSTITUICAO]]," ",Tabela3[[#This Row],[TIPO OPERACAO]]," ",Tabela3[[#This Row],[TIPO INSTITUICAO]])," ")</f>
        <v>ACTIVA  BOLETO FIDC</v>
      </c>
      <c r="L23" s="175" t="s">
        <v>214</v>
      </c>
      <c r="M23" s="175" t="s">
        <v>194</v>
      </c>
      <c r="N23" s="175" t="s">
        <v>196</v>
      </c>
      <c r="O23" s="190">
        <v>2.3E-2</v>
      </c>
    </row>
    <row r="24" spans="1:15">
      <c r="A24" s="163">
        <v>46127</v>
      </c>
      <c r="B24" s="187">
        <v>9972</v>
      </c>
      <c r="C24" s="164">
        <f t="shared" si="1"/>
        <v>33</v>
      </c>
      <c r="D24" s="165">
        <f t="shared" si="0"/>
        <v>36</v>
      </c>
      <c r="E24" s="188">
        <f t="shared" si="2"/>
        <v>358992</v>
      </c>
      <c r="H24" s="185" t="s">
        <v>215</v>
      </c>
      <c r="I24" s="201">
        <v>0</v>
      </c>
      <c r="K24" s="175" t="str">
        <f>IFERROR(CONCATENATE(Tabela3[[#This Row],[INSTITUICAO]]," ",Tabela3[[#This Row],[TIPO OPERACAO]]," ",Tabela3[[#This Row],[TIPO INSTITUICAO]])," ")</f>
        <v>GENEBRA BOLETO FIDC</v>
      </c>
      <c r="L24" s="175" t="s">
        <v>216</v>
      </c>
      <c r="M24" s="175" t="s">
        <v>194</v>
      </c>
      <c r="N24" s="175" t="s">
        <v>196</v>
      </c>
      <c r="O24" s="190"/>
    </row>
    <row r="25" spans="1:15">
      <c r="A25" s="160">
        <v>46142</v>
      </c>
      <c r="B25" s="183">
        <v>9972</v>
      </c>
      <c r="C25" s="161">
        <f t="shared" si="1"/>
        <v>48</v>
      </c>
      <c r="D25" s="162">
        <f t="shared" si="0"/>
        <v>53</v>
      </c>
      <c r="E25" s="184">
        <f t="shared" si="2"/>
        <v>528516</v>
      </c>
      <c r="H25" s="185" t="s">
        <v>217</v>
      </c>
      <c r="I25" s="201">
        <f>I17-I24</f>
        <v>62369</v>
      </c>
      <c r="K25" s="175" t="str">
        <f>IFERROR(CONCATENATE(Tabela3[[#This Row],[INSTITUICAO]]," ",Tabela3[[#This Row],[TIPO OPERACAO]]," ",Tabela3[[#This Row],[TIPO INSTITUICAO]])," ")</f>
        <v>DEL MONTE BOLETO FIDC</v>
      </c>
      <c r="L25" s="175" t="s">
        <v>75</v>
      </c>
      <c r="M25" s="175" t="s">
        <v>194</v>
      </c>
      <c r="N25" s="175" t="s">
        <v>196</v>
      </c>
      <c r="O25" s="190">
        <v>2.1000000000000001E-2</v>
      </c>
    </row>
    <row r="26" spans="1:15">
      <c r="A26" s="163">
        <v>46157</v>
      </c>
      <c r="B26" s="187">
        <v>3413</v>
      </c>
      <c r="C26" s="164">
        <f t="shared" si="1"/>
        <v>63</v>
      </c>
      <c r="D26" s="165">
        <f t="shared" si="0"/>
        <v>68</v>
      </c>
      <c r="E26" s="188">
        <f t="shared" si="2"/>
        <v>232084</v>
      </c>
      <c r="H26" s="185" t="s">
        <v>218</v>
      </c>
      <c r="I26" s="202">
        <f>I25/I17/I16*30</f>
        <v>0.60038197111728475</v>
      </c>
      <c r="K26" s="175" t="str">
        <f>IFERROR(CONCATENATE(Tabela3[[#This Row],[INSTITUICAO]]," ",Tabela3[[#This Row],[TIPO OPERACAO]]," ",Tabela3[[#This Row],[TIPO INSTITUICAO]])," ")</f>
        <v>DEL MONTE COMISSARIA FIDC</v>
      </c>
      <c r="L26" s="175" t="s">
        <v>75</v>
      </c>
      <c r="M26" s="175" t="s">
        <v>219</v>
      </c>
      <c r="N26" s="175" t="s">
        <v>196</v>
      </c>
      <c r="O26" s="190">
        <v>2.8000000000000001E-2</v>
      </c>
    </row>
    <row r="27" spans="1:15">
      <c r="A27" s="160">
        <v>46126</v>
      </c>
      <c r="B27" s="183">
        <v>2377</v>
      </c>
      <c r="C27" s="161">
        <f t="shared" si="1"/>
        <v>32</v>
      </c>
      <c r="D27" s="162">
        <f t="shared" si="0"/>
        <v>35</v>
      </c>
      <c r="E27" s="184">
        <f t="shared" si="2"/>
        <v>83195</v>
      </c>
      <c r="H27" s="185" t="s">
        <v>220</v>
      </c>
      <c r="I27" s="203">
        <f>I18-(I17-I25)</f>
        <v>44675.69</v>
      </c>
      <c r="K27" s="175" t="str">
        <f>IFERROR(CONCATENATE(Tabela3[[#This Row],[INSTITUICAO]]," ",Tabela3[[#This Row],[TIPO OPERACAO]]," ",Tabela3[[#This Row],[TIPO INSTITUICAO]])," ")</f>
        <v>SQUARE BOLETO FIDC</v>
      </c>
      <c r="L27" s="175" t="s">
        <v>221</v>
      </c>
      <c r="M27" s="175" t="s">
        <v>194</v>
      </c>
      <c r="N27" s="175" t="s">
        <v>196</v>
      </c>
      <c r="O27" s="190">
        <v>2.5499999999999998E-2</v>
      </c>
    </row>
    <row r="28" spans="1:15">
      <c r="A28" s="163">
        <v>46140</v>
      </c>
      <c r="B28" s="187">
        <v>2377</v>
      </c>
      <c r="C28" s="164">
        <f t="shared" si="1"/>
        <v>46</v>
      </c>
      <c r="D28" s="165">
        <f t="shared" si="0"/>
        <v>49</v>
      </c>
      <c r="E28" s="188">
        <f t="shared" si="2"/>
        <v>116473</v>
      </c>
      <c r="H28" s="185" t="s">
        <v>222</v>
      </c>
      <c r="I28" s="204">
        <f>I26-I15</f>
        <v>0.56008197111728475</v>
      </c>
      <c r="K28" s="175" t="str">
        <f>IFERROR(CONCATENATE(Tabela3[[#This Row],[INSTITUICAO]]," ",Tabela3[[#This Row],[TIPO OPERACAO]]," ",Tabela3[[#This Row],[TIPO INSTITUICAO]])," ")</f>
        <v>SOMA BOLETO FIDC</v>
      </c>
      <c r="L28" s="175" t="s">
        <v>223</v>
      </c>
      <c r="M28" s="175" t="s">
        <v>194</v>
      </c>
      <c r="N28" s="175" t="s">
        <v>196</v>
      </c>
      <c r="O28" s="190">
        <v>1.7999999999999999E-2</v>
      </c>
    </row>
    <row r="29" spans="1:15">
      <c r="A29" s="160">
        <v>46154</v>
      </c>
      <c r="B29" s="183">
        <v>2377</v>
      </c>
      <c r="C29" s="161">
        <f t="shared" si="1"/>
        <v>60</v>
      </c>
      <c r="D29" s="162">
        <f t="shared" si="0"/>
        <v>63</v>
      </c>
      <c r="E29" s="184">
        <f t="shared" si="2"/>
        <v>149751</v>
      </c>
      <c r="K29" s="175" t="str">
        <f>IFERROR(CONCATENATE(Tabela3[[#This Row],[INSTITUICAO]]," ",Tabela3[[#This Row],[TIPO OPERACAO]]," ",Tabela3[[#This Row],[TIPO INSTITUICAO]])," ")</f>
        <v>SOMA CHEQUE FIDC</v>
      </c>
      <c r="L29" s="175" t="s">
        <v>223</v>
      </c>
      <c r="M29" s="175" t="s">
        <v>207</v>
      </c>
      <c r="N29" s="175" t="s">
        <v>196</v>
      </c>
      <c r="O29" s="190">
        <v>1.7999999999999999E-2</v>
      </c>
    </row>
    <row r="30" spans="1:15">
      <c r="A30" s="163">
        <v>46126</v>
      </c>
      <c r="B30" s="187">
        <v>2377</v>
      </c>
      <c r="C30" s="164">
        <f t="shared" si="1"/>
        <v>32</v>
      </c>
      <c r="D30" s="165">
        <f t="shared" si="0"/>
        <v>35</v>
      </c>
      <c r="E30" s="188">
        <f t="shared" si="2"/>
        <v>83195</v>
      </c>
      <c r="K30" s="175" t="str">
        <f>IFERROR(CONCATENATE(Tabela3[[#This Row],[INSTITUICAO]]," ",Tabela3[[#This Row],[TIPO OPERACAO]]," ",Tabela3[[#This Row],[TIPO INSTITUICAO]])," ")</f>
        <v>VALINVEST FOMENTO SEC</v>
      </c>
      <c r="L30" s="175" t="s">
        <v>224</v>
      </c>
      <c r="M30" s="175" t="s">
        <v>205</v>
      </c>
      <c r="N30" s="175" t="s">
        <v>225</v>
      </c>
      <c r="O30" s="190">
        <v>0.04</v>
      </c>
    </row>
    <row r="31" spans="1:15">
      <c r="A31" s="160">
        <v>46140</v>
      </c>
      <c r="B31" s="183">
        <v>2377</v>
      </c>
      <c r="C31" s="161">
        <f t="shared" si="1"/>
        <v>46</v>
      </c>
      <c r="D31" s="162">
        <f t="shared" si="0"/>
        <v>49</v>
      </c>
      <c r="E31" s="184">
        <f t="shared" si="2"/>
        <v>116473</v>
      </c>
      <c r="K31" s="175" t="str">
        <f>IFERROR(CONCATENATE(Tabela3[[#This Row],[INSTITUICAO]]," ",Tabela3[[#This Row],[TIPO OPERACAO]]," ",Tabela3[[#This Row],[TIPO INSTITUICAO]])," ")</f>
        <v>VALINVEST CHEQUE SEC</v>
      </c>
      <c r="L31" s="175" t="s">
        <v>224</v>
      </c>
      <c r="M31" s="175" t="s">
        <v>207</v>
      </c>
      <c r="N31" s="175" t="s">
        <v>225</v>
      </c>
      <c r="O31" s="190">
        <v>3.2000000000000001E-2</v>
      </c>
    </row>
    <row r="32" spans="1:15">
      <c r="A32" s="163">
        <v>46154</v>
      </c>
      <c r="B32" s="187">
        <v>2377</v>
      </c>
      <c r="C32" s="164">
        <f t="shared" si="1"/>
        <v>60</v>
      </c>
      <c r="D32" s="165">
        <f t="shared" si="0"/>
        <v>63</v>
      </c>
      <c r="E32" s="188">
        <f t="shared" si="2"/>
        <v>149751</v>
      </c>
      <c r="K32" s="175" t="str">
        <f>IFERROR(CONCATENATE(Tabela3[[#This Row],[INSTITUICAO]]," ",Tabela3[[#This Row],[TIPO OPERACAO]]," ",Tabela3[[#This Row],[TIPO INSTITUICAO]])," ")</f>
        <v>ANTARES CHEQUE SEC</v>
      </c>
      <c r="L32" s="175" t="s">
        <v>226</v>
      </c>
      <c r="M32" s="175" t="s">
        <v>207</v>
      </c>
      <c r="N32" s="175" t="s">
        <v>225</v>
      </c>
      <c r="O32" s="190">
        <v>2.7E-2</v>
      </c>
    </row>
    <row r="33" spans="1:15">
      <c r="A33" s="160">
        <v>46127</v>
      </c>
      <c r="B33" s="183">
        <v>1108</v>
      </c>
      <c r="C33" s="161">
        <f t="shared" si="1"/>
        <v>33</v>
      </c>
      <c r="D33" s="162">
        <f t="shared" si="0"/>
        <v>36</v>
      </c>
      <c r="E33" s="184">
        <f t="shared" si="2"/>
        <v>39888</v>
      </c>
      <c r="K33" s="205" t="str">
        <f>IFERROR(CONCATENATE(Tabela3[[#This Row],[INSTITUICAO]]," ",Tabela3[[#This Row],[TIPO OPERACAO]]," ",Tabela3[[#This Row],[TIPO INSTITUICAO]])," ")</f>
        <v>MFM CHEQUE PF</v>
      </c>
      <c r="L33" s="175" t="s">
        <v>227</v>
      </c>
      <c r="M33" s="175" t="s">
        <v>207</v>
      </c>
      <c r="N33" s="175" t="s">
        <v>228</v>
      </c>
      <c r="O33" s="190">
        <v>2.7E-2</v>
      </c>
    </row>
    <row r="34" spans="1:15">
      <c r="A34" s="163"/>
      <c r="B34" s="187"/>
      <c r="C34" s="164" t="str">
        <f t="shared" si="1"/>
        <v/>
      </c>
      <c r="D34" s="165" t="str">
        <f t="shared" si="0"/>
        <v/>
      </c>
      <c r="E34" s="188" t="str">
        <f t="shared" si="2"/>
        <v/>
      </c>
      <c r="K34" s="175" t="str">
        <f>IFERROR(CONCATENATE(Tabela3[[#This Row],[INSTITUICAO]]," ",Tabela3[[#This Row],[TIPO OPERACAO]]," ",Tabela3[[#This Row],[TIPO INSTITUICAO]])," ")</f>
        <v>DXM CHEQUE SEC</v>
      </c>
      <c r="L34" s="175" t="s">
        <v>229</v>
      </c>
      <c r="M34" s="175" t="s">
        <v>207</v>
      </c>
      <c r="N34" s="175" t="s">
        <v>225</v>
      </c>
      <c r="O34" s="190">
        <v>2.7E-2</v>
      </c>
    </row>
    <row r="35" spans="1:15">
      <c r="A35" s="160"/>
      <c r="B35" s="183"/>
      <c r="C35" s="161" t="str">
        <f t="shared" si="1"/>
        <v/>
      </c>
      <c r="D35" s="162" t="str">
        <f t="shared" si="0"/>
        <v/>
      </c>
      <c r="E35" s="184" t="str">
        <f t="shared" si="2"/>
        <v/>
      </c>
      <c r="K35" s="175" t="str">
        <f>IFERROR(CONCATENATE(Tabela3[[#This Row],[INSTITUICAO]]," ",Tabela3[[#This Row],[TIPO OPERACAO]]," ",Tabela3[[#This Row],[TIPO INSTITUICAO]])," ")</f>
        <v>SP INVEST CHEQUE SEC</v>
      </c>
      <c r="L35" s="175" t="s">
        <v>230</v>
      </c>
      <c r="M35" s="175" t="s">
        <v>207</v>
      </c>
      <c r="N35" s="175" t="s">
        <v>225</v>
      </c>
      <c r="O35" s="190">
        <v>3.2000000000000001E-2</v>
      </c>
    </row>
    <row r="36" spans="1:15">
      <c r="A36" s="163"/>
      <c r="B36" s="187"/>
      <c r="C36" s="164" t="str">
        <f t="shared" si="1"/>
        <v/>
      </c>
      <c r="D36" s="165" t="str">
        <f t="shared" si="0"/>
        <v/>
      </c>
      <c r="E36" s="188" t="str">
        <f t="shared" si="2"/>
        <v/>
      </c>
      <c r="K36" s="175" t="str">
        <f>IFERROR(CONCATENATE(Tabela3[[#This Row],[INSTITUICAO]]," ",Tabela3[[#This Row],[TIPO OPERACAO]]," ",Tabela3[[#This Row],[TIPO INSTITUICAO]])," ")</f>
        <v>INVISTA CHEQUE SEC</v>
      </c>
      <c r="L36" s="175" t="s">
        <v>231</v>
      </c>
      <c r="M36" s="175" t="s">
        <v>207</v>
      </c>
      <c r="N36" s="175" t="s">
        <v>225</v>
      </c>
      <c r="O36" s="190">
        <v>2.8000000000000001E-2</v>
      </c>
    </row>
    <row r="37" spans="1:15">
      <c r="A37" s="160"/>
      <c r="B37" s="183"/>
      <c r="C37" s="161" t="str">
        <f t="shared" si="1"/>
        <v/>
      </c>
      <c r="D37" s="162" t="str">
        <f t="shared" si="0"/>
        <v/>
      </c>
      <c r="E37" s="184" t="str">
        <f t="shared" si="2"/>
        <v/>
      </c>
      <c r="K37" s="175" t="str">
        <f>IFERROR(CONCATENATE(Tabela3[[#This Row],[INSTITUICAO]]," ",Tabela3[[#This Row],[TIPO OPERACAO]]," ",Tabela3[[#This Row],[TIPO INSTITUICAO]])," ")</f>
        <v>MATURITY CHEQUE SEC</v>
      </c>
      <c r="L37" s="175" t="s">
        <v>232</v>
      </c>
      <c r="M37" s="175" t="s">
        <v>207</v>
      </c>
      <c r="N37" s="175" t="s">
        <v>225</v>
      </c>
      <c r="O37" s="190">
        <v>0.03</v>
      </c>
    </row>
    <row r="38" spans="1:15">
      <c r="A38" s="163"/>
      <c r="B38" s="187"/>
      <c r="C38" s="164" t="str">
        <f t="shared" si="1"/>
        <v/>
      </c>
      <c r="D38" s="165" t="str">
        <f t="shared" si="0"/>
        <v/>
      </c>
      <c r="E38" s="188" t="str">
        <f t="shared" si="2"/>
        <v/>
      </c>
      <c r="K38" s="175" t="str">
        <f>IFERROR(CONCATENATE(Tabela3[[#This Row],[INSTITUICAO]]," ",Tabela3[[#This Row],[TIPO OPERACAO]]," ",Tabela3[[#This Row],[TIPO INSTITUICAO]])," ")</f>
        <v>BANICRED CHEQUE FIDC</v>
      </c>
      <c r="L38" s="175" t="s">
        <v>233</v>
      </c>
      <c r="M38" s="175" t="s">
        <v>207</v>
      </c>
      <c r="N38" s="175" t="s">
        <v>196</v>
      </c>
      <c r="O38" s="190">
        <v>1.7999999999999999E-2</v>
      </c>
    </row>
    <row r="39" spans="1:15">
      <c r="A39" s="160"/>
      <c r="B39" s="183"/>
      <c r="C39" s="161" t="str">
        <f t="shared" si="1"/>
        <v/>
      </c>
      <c r="D39" s="162" t="str">
        <f t="shared" si="0"/>
        <v/>
      </c>
      <c r="E39" s="184" t="str">
        <f t="shared" si="2"/>
        <v/>
      </c>
      <c r="K39" s="175" t="str">
        <f>IFERROR(CONCATENATE(Tabela3[[#This Row],[INSTITUICAO]]," ",Tabela3[[#This Row],[TIPO OPERACAO]]," ",Tabela3[[#This Row],[TIPO INSTITUICAO]])," ")</f>
        <v>ONIX BOLETO FIDC</v>
      </c>
      <c r="L39" s="175" t="s">
        <v>80</v>
      </c>
      <c r="M39" s="175" t="s">
        <v>194</v>
      </c>
      <c r="N39" s="175" t="s">
        <v>196</v>
      </c>
      <c r="O39" s="190">
        <v>2.5000000000000001E-2</v>
      </c>
    </row>
    <row r="40" spans="1:15">
      <c r="A40" s="163"/>
      <c r="B40" s="187"/>
      <c r="C40" s="164" t="str">
        <f t="shared" si="1"/>
        <v/>
      </c>
      <c r="D40" s="165" t="str">
        <f t="shared" si="0"/>
        <v/>
      </c>
      <c r="E40" s="188" t="str">
        <f t="shared" si="2"/>
        <v/>
      </c>
      <c r="K40" s="175" t="str">
        <f>IFERROR(CONCATENATE(Tabela3[[#This Row],[INSTITUICAO]]," ",Tabela3[[#This Row],[TIPO OPERACAO]]," ",Tabela3[[#This Row],[TIPO INSTITUICAO]])," ")</f>
        <v>SOMA FOMENTO FIDC</v>
      </c>
      <c r="L40" s="175" t="s">
        <v>223</v>
      </c>
      <c r="M40" s="175" t="s">
        <v>205</v>
      </c>
      <c r="N40" s="175" t="s">
        <v>196</v>
      </c>
      <c r="O40" s="190">
        <v>2.9000000000000001E-2</v>
      </c>
    </row>
    <row r="41" spans="1:15">
      <c r="A41" s="160"/>
      <c r="B41" s="183"/>
      <c r="C41" s="161" t="str">
        <f t="shared" si="1"/>
        <v/>
      </c>
      <c r="D41" s="162" t="str">
        <f t="shared" si="0"/>
        <v/>
      </c>
      <c r="E41" s="184" t="str">
        <f t="shared" si="2"/>
        <v/>
      </c>
      <c r="K41" s="175" t="str">
        <f>IFERROR(CONCATENATE(Tabela3[[#This Row],[INSTITUICAO]]," ",Tabela3[[#This Row],[TIPO OPERACAO]]," ",Tabela3[[#This Row],[TIPO INSTITUICAO]])," ")</f>
        <v>GFM BOLETO FIDC</v>
      </c>
      <c r="L41" s="175" t="s">
        <v>234</v>
      </c>
      <c r="M41" s="175" t="s">
        <v>194</v>
      </c>
      <c r="N41" s="175" t="s">
        <v>196</v>
      </c>
      <c r="O41" s="190">
        <v>2.5000000000000001E-2</v>
      </c>
    </row>
    <row r="42" spans="1:15">
      <c r="A42" s="163"/>
      <c r="B42" s="187"/>
      <c r="C42" s="164" t="str">
        <f t="shared" si="1"/>
        <v/>
      </c>
      <c r="D42" s="165" t="str">
        <f t="shared" si="0"/>
        <v/>
      </c>
      <c r="E42" s="188" t="str">
        <f t="shared" si="2"/>
        <v/>
      </c>
      <c r="K42" s="175" t="str">
        <f>IFERROR(CONCATENATE(Tabela3[[#This Row],[INSTITUICAO]]," ",Tabela3[[#This Row],[TIPO OPERACAO]]," ",Tabela3[[#This Row],[TIPO INSTITUICAO]])," ")</f>
        <v>GFM CHEQUE FIDC</v>
      </c>
      <c r="L42" s="175" t="s">
        <v>234</v>
      </c>
      <c r="M42" s="175" t="s">
        <v>207</v>
      </c>
      <c r="N42" s="175" t="s">
        <v>196</v>
      </c>
      <c r="O42" s="190">
        <v>2.5000000000000001E-2</v>
      </c>
    </row>
    <row r="43" spans="1:15">
      <c r="A43" s="160"/>
      <c r="B43" s="183"/>
      <c r="C43" s="161" t="str">
        <f t="shared" si="1"/>
        <v/>
      </c>
      <c r="D43" s="162" t="str">
        <f t="shared" si="0"/>
        <v/>
      </c>
      <c r="E43" s="184" t="str">
        <f t="shared" si="2"/>
        <v/>
      </c>
      <c r="K43" s="175" t="str">
        <f>IFERROR(CONCATENATE(Tabela3[[#This Row],[INSTITUICAO]]," ",Tabela3[[#This Row],[TIPO OPERACAO]]," ",Tabela3[[#This Row],[TIPO INSTITUICAO]])," ")</f>
        <v>GFM FOMENTO FIDC</v>
      </c>
      <c r="L43" s="175" t="s">
        <v>234</v>
      </c>
      <c r="M43" s="175" t="s">
        <v>205</v>
      </c>
      <c r="N43" s="175" t="s">
        <v>196</v>
      </c>
      <c r="O43" s="190">
        <v>0.03</v>
      </c>
    </row>
    <row r="44" spans="1:15">
      <c r="A44" s="163"/>
      <c r="B44" s="187"/>
      <c r="C44" s="164" t="str">
        <f t="shared" si="1"/>
        <v/>
      </c>
      <c r="D44" s="165" t="str">
        <f t="shared" si="0"/>
        <v/>
      </c>
      <c r="E44" s="188" t="str">
        <f t="shared" si="2"/>
        <v/>
      </c>
      <c r="K44" s="175" t="str">
        <f>IFERROR(CONCATENATE(Tabela3[[#This Row],[INSTITUICAO]]," ",Tabela3[[#This Row],[TIPO OPERACAO]]," ",Tabela3[[#This Row],[TIPO INSTITUICAO]])," ")</f>
        <v>CLIENTE BOLETO FIDC</v>
      </c>
      <c r="L44" s="175" t="s">
        <v>39</v>
      </c>
      <c r="M44" s="175" t="s">
        <v>194</v>
      </c>
      <c r="N44" s="175" t="s">
        <v>196</v>
      </c>
      <c r="O44" s="190">
        <v>2.5000000000000001E-2</v>
      </c>
    </row>
    <row r="45" spans="1:15">
      <c r="A45" s="160"/>
      <c r="B45" s="183"/>
      <c r="C45" s="161" t="str">
        <f t="shared" si="1"/>
        <v/>
      </c>
      <c r="D45" s="162" t="str">
        <f t="shared" si="0"/>
        <v/>
      </c>
      <c r="E45" s="184" t="str">
        <f t="shared" si="2"/>
        <v/>
      </c>
      <c r="K45" s="175" t="str">
        <f>IFERROR(CONCATENATE(Tabela3[[#This Row],[INSTITUICAO]]," ",Tabela3[[#This Row],[TIPO OPERACAO]]," ",Tabela3[[#This Row],[TIPO INSTITUICAO]])," ")</f>
        <v>LOTUS CHEQUE FIDC</v>
      </c>
      <c r="L45" s="175" t="s">
        <v>235</v>
      </c>
      <c r="M45" s="175" t="s">
        <v>207</v>
      </c>
      <c r="N45" s="175" t="s">
        <v>196</v>
      </c>
      <c r="O45" s="190">
        <v>1.7999999999999999E-2</v>
      </c>
    </row>
    <row r="46" spans="1:15">
      <c r="A46" s="163"/>
      <c r="B46" s="187"/>
      <c r="C46" s="164" t="str">
        <f t="shared" si="1"/>
        <v/>
      </c>
      <c r="D46" s="165" t="str">
        <f t="shared" si="0"/>
        <v/>
      </c>
      <c r="E46" s="188" t="str">
        <f t="shared" si="2"/>
        <v/>
      </c>
      <c r="K46" s="205" t="str">
        <f>IFERROR(CONCATENATE(Tabela3[[#This Row],[INSTITUICAO]]," ",Tabela3[[#This Row],[TIPO OPERACAO]]," ",Tabela3[[#This Row],[TIPO INSTITUICAO]])," ")</f>
        <v>MFM COMISSARIA PF</v>
      </c>
      <c r="L46" s="175" t="s">
        <v>227</v>
      </c>
      <c r="M46" s="175" t="s">
        <v>219</v>
      </c>
      <c r="N46" s="175" t="s">
        <v>228</v>
      </c>
      <c r="O46" s="190">
        <v>3.2000000000000001E-2</v>
      </c>
    </row>
    <row r="47" spans="1:15">
      <c r="A47" s="160"/>
      <c r="B47" s="183"/>
      <c r="C47" s="161" t="str">
        <f t="shared" si="1"/>
        <v/>
      </c>
      <c r="D47" s="162" t="str">
        <f t="shared" si="0"/>
        <v/>
      </c>
      <c r="E47" s="184" t="str">
        <f t="shared" si="2"/>
        <v/>
      </c>
      <c r="K47" s="175" t="str">
        <f>IFERROR(CONCATENATE(Tabela3[[#This Row],[INSTITUICAO]]," ",Tabela3[[#This Row],[TIPO OPERACAO]]," ",Tabela3[[#This Row],[TIPO INSTITUICAO]])," ")</f>
        <v>ONIX FOMENTO FIDC</v>
      </c>
      <c r="L47" s="175" t="s">
        <v>80</v>
      </c>
      <c r="M47" s="175" t="s">
        <v>205</v>
      </c>
      <c r="N47" s="175" t="s">
        <v>196</v>
      </c>
      <c r="O47" s="190">
        <v>3.1E-2</v>
      </c>
    </row>
    <row r="48" spans="1:15">
      <c r="A48" s="163"/>
      <c r="B48" s="187"/>
      <c r="C48" s="164" t="str">
        <f t="shared" si="1"/>
        <v/>
      </c>
      <c r="D48" s="165" t="str">
        <f t="shared" si="0"/>
        <v/>
      </c>
      <c r="E48" s="188" t="str">
        <f t="shared" si="2"/>
        <v/>
      </c>
      <c r="K48" s="175" t="str">
        <f>IFERROR(CONCATENATE(Tabela3[[#This Row],[INSTITUICAO]]," ",Tabela3[[#This Row],[TIPO OPERACAO]]," ",Tabela3[[#This Row],[TIPO INSTITUICAO]])," ")</f>
        <v>RSS BOLETO SEC</v>
      </c>
      <c r="L48" s="175" t="s">
        <v>236</v>
      </c>
      <c r="M48" s="175" t="s">
        <v>194</v>
      </c>
      <c r="N48" s="175" t="s">
        <v>225</v>
      </c>
      <c r="O48" s="190">
        <v>2.5000000000000001E-2</v>
      </c>
    </row>
    <row r="49" spans="1:20">
      <c r="A49" s="160"/>
      <c r="B49" s="183"/>
      <c r="C49" s="161" t="str">
        <f t="shared" si="1"/>
        <v/>
      </c>
      <c r="D49" s="162" t="str">
        <f t="shared" si="0"/>
        <v/>
      </c>
      <c r="E49" s="184" t="str">
        <f t="shared" si="2"/>
        <v/>
      </c>
      <c r="K49" s="175" t="str">
        <f>IFERROR(CONCATENATE(Tabela3[[#This Row],[INSTITUICAO]]," ",Tabela3[[#This Row],[TIPO OPERACAO]]," ",Tabela3[[#This Row],[TIPO INSTITUICAO]])," ")</f>
        <v>RSS FOMENTO SEC</v>
      </c>
      <c r="L49" s="175" t="s">
        <v>236</v>
      </c>
      <c r="M49" s="175" t="s">
        <v>205</v>
      </c>
      <c r="N49" s="175" t="s">
        <v>225</v>
      </c>
      <c r="O49" s="190">
        <v>2.9000000000000001E-2</v>
      </c>
    </row>
    <row r="50" spans="1:20">
      <c r="A50" s="163"/>
      <c r="B50" s="187"/>
      <c r="C50" s="164" t="str">
        <f t="shared" si="1"/>
        <v/>
      </c>
      <c r="D50" s="165" t="str">
        <f t="shared" si="0"/>
        <v/>
      </c>
      <c r="E50" s="188" t="str">
        <f t="shared" si="2"/>
        <v/>
      </c>
      <c r="K50" s="175" t="str">
        <f>IFERROR(CONCATENATE(Tabela3[[#This Row],[INSTITUICAO]]," ",Tabela3[[#This Row],[TIPO OPERACAO]]," ",Tabela3[[#This Row],[TIPO INSTITUICAO]])," ")</f>
        <v>SIGMA CHEQUE FIDC</v>
      </c>
      <c r="L50" s="175" t="s">
        <v>237</v>
      </c>
      <c r="M50" s="175" t="s">
        <v>207</v>
      </c>
      <c r="N50" s="175" t="s">
        <v>196</v>
      </c>
      <c r="O50" s="190">
        <v>0.02</v>
      </c>
      <c r="P50" s="175">
        <v>3.02</v>
      </c>
      <c r="Q50" s="175">
        <v>25</v>
      </c>
      <c r="R50" s="175">
        <v>100</v>
      </c>
      <c r="S50" s="175">
        <v>50</v>
      </c>
      <c r="T50" s="175">
        <v>20</v>
      </c>
    </row>
    <row r="51" spans="1:20">
      <c r="A51" s="160"/>
      <c r="B51" s="183"/>
      <c r="C51" s="161" t="str">
        <f t="shared" si="1"/>
        <v/>
      </c>
      <c r="D51" s="162" t="str">
        <f t="shared" si="0"/>
        <v/>
      </c>
      <c r="E51" s="184" t="str">
        <f t="shared" si="2"/>
        <v/>
      </c>
      <c r="K51" s="175" t="str">
        <f>IFERROR(CONCATENATE(Tabela3[[#This Row],[INSTITUICAO]]," ",Tabela3[[#This Row],[TIPO OPERACAO]]," ",Tabela3[[#This Row],[TIPO INSTITUICAO]])," ")</f>
        <v>RSS CHEQUE SEC</v>
      </c>
      <c r="L51" s="175" t="s">
        <v>236</v>
      </c>
      <c r="M51" s="175" t="s">
        <v>207</v>
      </c>
      <c r="N51" s="175" t="s">
        <v>225</v>
      </c>
      <c r="O51" s="190">
        <v>2.7E-2</v>
      </c>
    </row>
    <row r="52" spans="1:20">
      <c r="A52" s="163"/>
      <c r="B52" s="187"/>
      <c r="C52" s="164" t="str">
        <f t="shared" si="1"/>
        <v/>
      </c>
      <c r="D52" s="165" t="str">
        <f t="shared" si="0"/>
        <v/>
      </c>
      <c r="E52" s="188" t="str">
        <f t="shared" si="2"/>
        <v/>
      </c>
      <c r="K52" s="175" t="str">
        <f>IFERROR(CONCATENATE(Tabela3[[#This Row],[INSTITUICAO]]," ",Tabela3[[#This Row],[TIPO OPERACAO]]," ",Tabela3[[#This Row],[TIPO INSTITUICAO]])," ")</f>
        <v>REAL TIME COMISSARIA FIDC</v>
      </c>
      <c r="L52" s="175" t="s">
        <v>238</v>
      </c>
      <c r="M52" s="175" t="s">
        <v>219</v>
      </c>
      <c r="N52" s="175" t="s">
        <v>196</v>
      </c>
      <c r="O52" s="190">
        <v>0.03</v>
      </c>
    </row>
    <row r="53" spans="1:20">
      <c r="A53" s="160"/>
      <c r="B53" s="183"/>
      <c r="C53" s="161" t="str">
        <f t="shared" si="1"/>
        <v/>
      </c>
      <c r="D53" s="162" t="str">
        <f t="shared" si="0"/>
        <v/>
      </c>
      <c r="E53" s="184" t="str">
        <f t="shared" si="2"/>
        <v/>
      </c>
      <c r="K53" s="175" t="str">
        <f>IFERROR(CONCATENATE(Tabela3[[#This Row],[INSTITUICAO]]," ",Tabela3[[#This Row],[TIPO OPERACAO]]," ",Tabela3[[#This Row],[TIPO INSTITUICAO]])," ")</f>
        <v>ONIX FOMENTO FIDC</v>
      </c>
      <c r="L53" s="175" t="s">
        <v>80</v>
      </c>
      <c r="M53" s="175" t="s">
        <v>205</v>
      </c>
      <c r="N53" s="175" t="s">
        <v>196</v>
      </c>
      <c r="O53" s="190">
        <v>0.03</v>
      </c>
    </row>
    <row r="54" spans="1:20">
      <c r="A54" s="163"/>
      <c r="B54" s="187"/>
      <c r="C54" s="164" t="str">
        <f t="shared" si="1"/>
        <v/>
      </c>
      <c r="D54" s="165" t="str">
        <f t="shared" si="0"/>
        <v/>
      </c>
      <c r="E54" s="188" t="str">
        <f t="shared" si="2"/>
        <v/>
      </c>
      <c r="K54" s="175" t="str">
        <f>IFERROR(CONCATENATE(Tabela3[[#This Row],[INSTITUICAO]]," ",Tabela3[[#This Row],[TIPO OPERACAO]]," ",Tabela3[[#This Row],[TIPO INSTITUICAO]])," ")</f>
        <v>BANICRED FOMENTO FIDC</v>
      </c>
      <c r="L54" s="175" t="s">
        <v>233</v>
      </c>
      <c r="M54" s="175" t="s">
        <v>205</v>
      </c>
      <c r="N54" s="175" t="s">
        <v>196</v>
      </c>
      <c r="O54" s="190">
        <v>0.03</v>
      </c>
    </row>
    <row r="55" spans="1:20">
      <c r="A55" s="160"/>
      <c r="B55" s="183"/>
      <c r="C55" s="161" t="str">
        <f t="shared" si="1"/>
        <v/>
      </c>
      <c r="D55" s="162" t="str">
        <f t="shared" si="0"/>
        <v/>
      </c>
      <c r="E55" s="184" t="str">
        <f t="shared" si="2"/>
        <v/>
      </c>
      <c r="K55" s="175" t="str">
        <f>IFERROR(CONCATENATE(Tabela3[[#This Row],[INSTITUICAO]]," ",Tabela3[[#This Row],[TIPO OPERACAO]]," ",Tabela3[[#This Row],[TIPO INSTITUICAO]])," ")</f>
        <v>REAL TIME BOLETO FIDC</v>
      </c>
      <c r="L55" s="175" t="s">
        <v>238</v>
      </c>
      <c r="M55" s="175" t="s">
        <v>194</v>
      </c>
      <c r="N55" s="175" t="s">
        <v>196</v>
      </c>
      <c r="O55" s="190">
        <v>2.5000000000000001E-2</v>
      </c>
    </row>
    <row r="56" spans="1:20">
      <c r="A56" s="163"/>
      <c r="B56" s="187"/>
      <c r="C56" s="164" t="str">
        <f t="shared" si="1"/>
        <v/>
      </c>
      <c r="D56" s="165" t="str">
        <f t="shared" si="0"/>
        <v/>
      </c>
      <c r="E56" s="188" t="str">
        <f t="shared" si="2"/>
        <v/>
      </c>
      <c r="K56" s="175" t="str">
        <f>IFERROR(CONCATENATE(Tabela3[[#This Row],[INSTITUICAO]]," ",Tabela3[[#This Row],[TIPO OPERACAO]]," ",Tabela3[[#This Row],[TIPO INSTITUICAO]])," ")</f>
        <v>BLACKBIRD FOMENTO SEC</v>
      </c>
      <c r="L56" s="175" t="s">
        <v>239</v>
      </c>
      <c r="M56" s="175" t="s">
        <v>205</v>
      </c>
      <c r="N56" s="175" t="s">
        <v>225</v>
      </c>
      <c r="O56" s="190">
        <v>0.03</v>
      </c>
    </row>
    <row r="57" spans="1:20">
      <c r="A57" s="160"/>
      <c r="B57" s="183"/>
      <c r="C57" s="161" t="str">
        <f t="shared" si="1"/>
        <v/>
      </c>
      <c r="D57" s="162" t="str">
        <f t="shared" si="0"/>
        <v/>
      </c>
      <c r="E57" s="184" t="str">
        <f t="shared" si="2"/>
        <v/>
      </c>
      <c r="K57" s="175" t="str">
        <f>IFERROR(CONCATENATE(Tabela3[[#This Row],[INSTITUICAO]]," ",Tabela3[[#This Row],[TIPO OPERACAO]]," ",Tabela3[[#This Row],[TIPO INSTITUICAO]])," ")</f>
        <v>BLACKBIRD BOLETO SEC</v>
      </c>
      <c r="L57" s="175" t="s">
        <v>239</v>
      </c>
      <c r="M57" s="175" t="s">
        <v>194</v>
      </c>
      <c r="N57" s="175" t="s">
        <v>225</v>
      </c>
      <c r="O57" s="190">
        <v>2.4E-2</v>
      </c>
    </row>
    <row r="58" spans="1:20">
      <c r="A58" s="163"/>
      <c r="B58" s="187"/>
      <c r="C58" s="164" t="str">
        <f t="shared" si="1"/>
        <v/>
      </c>
      <c r="D58" s="165" t="str">
        <f t="shared" si="0"/>
        <v/>
      </c>
      <c r="E58" s="188" t="str">
        <f t="shared" si="2"/>
        <v/>
      </c>
      <c r="K58" s="175" t="str">
        <f>IFERROR(CONCATENATE(Tabela3[[#This Row],[INSTITUICAO]]," ",Tabela3[[#This Row],[TIPO OPERACAO]]," ",Tabela3[[#This Row],[TIPO INSTITUICAO]])," ")</f>
        <v>SIGMA FOMENTO FIDC</v>
      </c>
      <c r="L58" s="175" t="s">
        <v>237</v>
      </c>
      <c r="M58" s="175" t="s">
        <v>205</v>
      </c>
      <c r="N58" s="175" t="s">
        <v>196</v>
      </c>
      <c r="O58" s="190">
        <v>0.03</v>
      </c>
    </row>
    <row r="59" spans="1:20">
      <c r="A59" s="160"/>
      <c r="B59" s="183"/>
      <c r="C59" s="161" t="str">
        <f t="shared" si="1"/>
        <v/>
      </c>
      <c r="D59" s="162" t="str">
        <f t="shared" si="0"/>
        <v/>
      </c>
      <c r="E59" s="184" t="str">
        <f t="shared" si="2"/>
        <v/>
      </c>
      <c r="K59" s="175" t="str">
        <f>IFERROR(CONCATENATE(Tabela3[[#This Row],[INSTITUICAO]]," ",Tabela3[[#This Row],[TIPO OPERACAO]]," ",Tabela3[[#This Row],[TIPO INSTITUICAO]])," ")</f>
        <v>SIGMA BOLETO FIDC</v>
      </c>
      <c r="L59" s="175" t="s">
        <v>237</v>
      </c>
      <c r="M59" s="175" t="s">
        <v>194</v>
      </c>
      <c r="N59" s="175" t="s">
        <v>196</v>
      </c>
      <c r="O59" s="190">
        <v>0.02</v>
      </c>
    </row>
    <row r="60" spans="1:20">
      <c r="A60" s="163"/>
      <c r="B60" s="187"/>
      <c r="C60" s="164" t="str">
        <f t="shared" si="1"/>
        <v/>
      </c>
      <c r="D60" s="165" t="str">
        <f t="shared" si="0"/>
        <v/>
      </c>
      <c r="E60" s="188" t="str">
        <f t="shared" si="2"/>
        <v/>
      </c>
      <c r="K60" s="175" t="str">
        <f>IFERROR(CONCATENATE(Tabela3[[#This Row],[INSTITUICAO]]," ",Tabela3[[#This Row],[TIPO OPERACAO]]," ",Tabela3[[#This Row],[TIPO INSTITUICAO]])," ")</f>
        <v>ONIX COMISSARIA FIDC</v>
      </c>
      <c r="L60" s="175" t="s">
        <v>80</v>
      </c>
      <c r="M60" s="175" t="s">
        <v>219</v>
      </c>
      <c r="N60" s="175" t="s">
        <v>196</v>
      </c>
      <c r="O60" s="190">
        <v>3.1E-2</v>
      </c>
    </row>
    <row r="61" spans="1:20">
      <c r="A61" s="160"/>
      <c r="B61" s="183"/>
      <c r="C61" s="161" t="str">
        <f t="shared" si="1"/>
        <v/>
      </c>
      <c r="D61" s="162" t="str">
        <f t="shared" si="0"/>
        <v/>
      </c>
      <c r="E61" s="184" t="str">
        <f t="shared" si="2"/>
        <v/>
      </c>
      <c r="K61" s="175" t="str">
        <f>IFERROR(CONCATENATE(Tabela3[[#This Row],[INSTITUICAO]]," ",Tabela3[[#This Row],[TIPO OPERACAO]]," ",Tabela3[[#This Row],[TIPO INSTITUICAO]])," ")</f>
        <v>LOTUS FOMENTO FIDC</v>
      </c>
      <c r="L61" s="175" t="s">
        <v>235</v>
      </c>
      <c r="M61" s="175" t="s">
        <v>205</v>
      </c>
      <c r="N61" s="175" t="s">
        <v>196</v>
      </c>
      <c r="O61" s="190">
        <v>2.9000000000000001E-2</v>
      </c>
    </row>
    <row r="62" spans="1:20">
      <c r="A62" s="163"/>
      <c r="B62" s="187"/>
      <c r="C62" s="164" t="str">
        <f t="shared" si="1"/>
        <v/>
      </c>
      <c r="D62" s="165" t="str">
        <f t="shared" si="0"/>
        <v/>
      </c>
      <c r="E62" s="188" t="str">
        <f t="shared" si="2"/>
        <v/>
      </c>
      <c r="K62" s="175" t="str">
        <f>IFERROR(CONCATENATE(Tabela3[[#This Row],[INSTITUICAO]]," ",Tabela3[[#This Row],[TIPO OPERACAO]]," ",Tabela3[[#This Row],[TIPO INSTITUICAO]])," ")</f>
        <v>ERM COMISSARIA PF</v>
      </c>
      <c r="L62" s="175" t="s">
        <v>240</v>
      </c>
      <c r="M62" s="175" t="s">
        <v>219</v>
      </c>
      <c r="N62" s="175" t="s">
        <v>228</v>
      </c>
      <c r="O62" s="190">
        <v>3.2000000000000001E-2</v>
      </c>
    </row>
    <row r="63" spans="1:20">
      <c r="A63" s="160"/>
      <c r="B63" s="183"/>
      <c r="C63" s="161" t="str">
        <f t="shared" si="1"/>
        <v/>
      </c>
      <c r="D63" s="162" t="str">
        <f t="shared" si="0"/>
        <v/>
      </c>
      <c r="E63" s="184" t="str">
        <f t="shared" si="2"/>
        <v/>
      </c>
      <c r="K63" s="175" t="str">
        <f>IFERROR(CONCATENATE(Tabela3[[#This Row],[INSTITUICAO]]," ",Tabela3[[#This Row],[TIPO OPERACAO]]," ",Tabela3[[#This Row],[TIPO INSTITUICAO]])," ")</f>
        <v>BANICRED BOLETO FIDC</v>
      </c>
      <c r="L63" s="175" t="s">
        <v>233</v>
      </c>
      <c r="M63" s="175" t="s">
        <v>194</v>
      </c>
      <c r="N63" s="175" t="s">
        <v>196</v>
      </c>
      <c r="O63" s="190">
        <v>2.1999999999999999E-2</v>
      </c>
    </row>
    <row r="64" spans="1:20">
      <c r="A64" s="163"/>
      <c r="B64" s="187"/>
      <c r="C64" s="164" t="str">
        <f t="shared" si="1"/>
        <v/>
      </c>
      <c r="D64" s="165" t="str">
        <f t="shared" si="0"/>
        <v/>
      </c>
      <c r="E64" s="188" t="str">
        <f t="shared" si="2"/>
        <v/>
      </c>
      <c r="K64" s="175" t="str">
        <f>IFERROR(CONCATENATE(Tabela3[[#This Row],[INSTITUICAO]]," ",Tabela3[[#This Row],[TIPO OPERACAO]]," ",Tabela3[[#This Row],[TIPO INSTITUICAO]])," ")</f>
        <v>GPR CAPITAL FOMENTO SEC</v>
      </c>
      <c r="L64" s="175" t="s">
        <v>241</v>
      </c>
      <c r="M64" s="175" t="s">
        <v>205</v>
      </c>
      <c r="N64" s="175" t="s">
        <v>225</v>
      </c>
      <c r="O64" s="190">
        <v>2.75E-2</v>
      </c>
    </row>
    <row r="65" spans="1:21">
      <c r="A65" s="160"/>
      <c r="B65" s="183"/>
      <c r="C65" s="161" t="str">
        <f t="shared" si="1"/>
        <v/>
      </c>
      <c r="D65" s="162" t="str">
        <f t="shared" si="0"/>
        <v/>
      </c>
      <c r="E65" s="184" t="str">
        <f t="shared" si="2"/>
        <v/>
      </c>
      <c r="K65" s="175" t="str">
        <f>IFERROR(CONCATENATE(Tabela3[[#This Row],[INSTITUICAO]]," ",Tabela3[[#This Row],[TIPO OPERACAO]]," ",Tabela3[[#This Row],[TIPO INSTITUICAO]])," ")</f>
        <v>SIGMA CUSTAS FIDC</v>
      </c>
      <c r="L65" s="175" t="s">
        <v>237</v>
      </c>
      <c r="M65" s="175" t="s">
        <v>242</v>
      </c>
      <c r="N65" s="175" t="s">
        <v>196</v>
      </c>
      <c r="O65" s="190">
        <v>0.05</v>
      </c>
    </row>
    <row r="66" spans="1:21">
      <c r="A66" s="163"/>
      <c r="B66" s="187"/>
      <c r="C66" s="164" t="str">
        <f t="shared" si="1"/>
        <v/>
      </c>
      <c r="D66" s="165" t="str">
        <f t="shared" si="0"/>
        <v/>
      </c>
      <c r="E66" s="188" t="str">
        <f t="shared" si="2"/>
        <v/>
      </c>
      <c r="K66" s="175" t="str">
        <f>IFERROR(CONCATENATE(Tabela3[[#This Row],[INSTITUICAO]]," ",Tabela3[[#This Row],[TIPO OPERACAO]]," ",Tabela3[[#This Row],[TIPO INSTITUICAO]])," ")</f>
        <v>LOTUS BOLETO FIDC</v>
      </c>
      <c r="L66" s="175" t="s">
        <v>235</v>
      </c>
      <c r="M66" s="175" t="s">
        <v>194</v>
      </c>
      <c r="N66" s="175" t="s">
        <v>196</v>
      </c>
      <c r="O66" s="190">
        <v>0.02</v>
      </c>
    </row>
    <row r="67" spans="1:21">
      <c r="A67" s="160"/>
      <c r="B67" s="183"/>
      <c r="C67" s="161" t="str">
        <f t="shared" si="1"/>
        <v/>
      </c>
      <c r="D67" s="162" t="str">
        <f t="shared" si="0"/>
        <v/>
      </c>
      <c r="E67" s="184" t="str">
        <f t="shared" si="2"/>
        <v/>
      </c>
      <c r="K67" s="175" t="str">
        <f>IFERROR(CONCATENATE(Tabela3[[#This Row],[INSTITUICAO]]," ",Tabela3[[#This Row],[TIPO OPERACAO]]," ",Tabela3[[#This Row],[TIPO INSTITUICAO]])," ")</f>
        <v>GPR CAPITAL BOLETO SEC</v>
      </c>
      <c r="L67" s="175" t="s">
        <v>241</v>
      </c>
      <c r="M67" s="175" t="s">
        <v>194</v>
      </c>
      <c r="N67" s="175" t="s">
        <v>225</v>
      </c>
      <c r="O67" s="190">
        <v>1.95E-2</v>
      </c>
    </row>
    <row r="68" spans="1:21">
      <c r="A68" s="163"/>
      <c r="B68" s="187"/>
      <c r="C68" s="164" t="str">
        <f t="shared" si="1"/>
        <v/>
      </c>
      <c r="D68" s="165" t="str">
        <f t="shared" si="0"/>
        <v/>
      </c>
      <c r="E68" s="188" t="str">
        <f t="shared" si="2"/>
        <v/>
      </c>
      <c r="K68" s="175" t="str">
        <f>IFERROR(CONCATENATE(Tabela3[[#This Row],[INSTITUICAO]]," ",Tabela3[[#This Row],[TIPO OPERACAO]]," ",Tabela3[[#This Row],[TIPO INSTITUICAO]])," ")</f>
        <v>SP INVEST COMISSARIA SEC</v>
      </c>
      <c r="L68" s="175" t="s">
        <v>230</v>
      </c>
      <c r="M68" s="175" t="s">
        <v>219</v>
      </c>
      <c r="N68" s="175" t="s">
        <v>225</v>
      </c>
      <c r="O68" s="190">
        <v>3.2000000000000001E-2</v>
      </c>
    </row>
    <row r="69" spans="1:21">
      <c r="A69" s="160"/>
      <c r="B69" s="183"/>
      <c r="C69" s="161" t="str">
        <f t="shared" si="1"/>
        <v/>
      </c>
      <c r="D69" s="162" t="str">
        <f t="shared" si="0"/>
        <v/>
      </c>
      <c r="E69" s="184" t="str">
        <f t="shared" si="2"/>
        <v/>
      </c>
      <c r="K69" s="175" t="str">
        <f>IFERROR(CONCATENATE(Tabela3[[#This Row],[INSTITUICAO]]," ",Tabela3[[#This Row],[TIPO OPERACAO]]," ",Tabela3[[#This Row],[TIPO INSTITUICAO]])," ")</f>
        <v>VALINVEST COMISSARIA SEC</v>
      </c>
      <c r="L69" s="175" t="s">
        <v>224</v>
      </c>
      <c r="M69" s="175" t="s">
        <v>219</v>
      </c>
      <c r="N69" s="175" t="s">
        <v>225</v>
      </c>
      <c r="O69" s="190">
        <v>3.2000000000000001E-2</v>
      </c>
    </row>
    <row r="70" spans="1:21">
      <c r="A70" s="163"/>
      <c r="B70" s="187"/>
      <c r="C70" s="164" t="str">
        <f t="shared" si="1"/>
        <v/>
      </c>
      <c r="D70" s="165" t="str">
        <f t="shared" si="0"/>
        <v/>
      </c>
      <c r="E70" s="188" t="str">
        <f t="shared" si="2"/>
        <v/>
      </c>
      <c r="K70" s="175" t="str">
        <f>IFERROR(CONCATENATE(Tabela3[[#This Row],[INSTITUICAO]]," ",Tabela3[[#This Row],[TIPO OPERACAO]]," ",Tabela3[[#This Row],[TIPO INSTITUICAO]])," ")</f>
        <v>SP INVEST FOMENTO SEC</v>
      </c>
      <c r="L70" s="175" t="s">
        <v>230</v>
      </c>
      <c r="M70" s="175" t="s">
        <v>205</v>
      </c>
      <c r="N70" s="175" t="s">
        <v>225</v>
      </c>
      <c r="O70" s="190">
        <v>0.04</v>
      </c>
    </row>
    <row r="71" spans="1:21">
      <c r="A71" s="160"/>
      <c r="B71" s="183"/>
      <c r="C71" s="161" t="str">
        <f t="shared" si="1"/>
        <v/>
      </c>
      <c r="D71" s="162" t="str">
        <f t="shared" si="0"/>
        <v/>
      </c>
      <c r="E71" s="184" t="str">
        <f t="shared" si="2"/>
        <v/>
      </c>
      <c r="K71" s="175" t="str">
        <f>IFERROR(CONCATENATE(Tabela3[[#This Row],[INSTITUICAO]]," ",Tabela3[[#This Row],[TIPO OPERACAO]]," ",Tabela3[[#This Row],[TIPO INSTITUICAO]])," ")</f>
        <v>SP INVEST CHEQUE SEC</v>
      </c>
      <c r="L71" s="175" t="s">
        <v>230</v>
      </c>
      <c r="M71" s="175" t="s">
        <v>207</v>
      </c>
      <c r="N71" s="175" t="s">
        <v>225</v>
      </c>
      <c r="O71" s="190">
        <v>3.2000000000000001E-2</v>
      </c>
    </row>
    <row r="72" spans="1:21">
      <c r="A72" s="163"/>
      <c r="B72" s="187"/>
      <c r="C72" s="164" t="str">
        <f t="shared" si="1"/>
        <v/>
      </c>
      <c r="D72" s="165" t="str">
        <f t="shared" si="0"/>
        <v/>
      </c>
      <c r="E72" s="188" t="str">
        <f t="shared" si="2"/>
        <v/>
      </c>
      <c r="K72" s="175" t="str">
        <f>IFERROR(CONCATENATE(Tabela3[[#This Row],[INSTITUICAO]]," ",Tabela3[[#This Row],[TIPO OPERACAO]]," ",Tabela3[[#This Row],[TIPO INSTITUICAO]])," ")</f>
        <v>ONIX CHEQUE FIDC</v>
      </c>
      <c r="L72" s="175" t="s">
        <v>80</v>
      </c>
      <c r="M72" s="175" t="s">
        <v>207</v>
      </c>
      <c r="N72" s="175" t="s">
        <v>196</v>
      </c>
      <c r="O72" s="190">
        <v>2.5000000000000001E-2</v>
      </c>
    </row>
    <row r="73" spans="1:21">
      <c r="A73" s="160"/>
      <c r="B73" s="183"/>
      <c r="C73" s="161" t="str">
        <f t="shared" si="1"/>
        <v/>
      </c>
      <c r="D73" s="162" t="str">
        <f t="shared" si="0"/>
        <v/>
      </c>
      <c r="E73" s="184" t="str">
        <f t="shared" si="2"/>
        <v/>
      </c>
      <c r="K73" s="175" t="str">
        <f>IFERROR(CONCATENATE(Tabela3[[#This Row],[INSTITUICAO]]," ",Tabela3[[#This Row],[TIPO OPERACAO]]," ",Tabela3[[#This Row],[TIPO INSTITUICAO]])," ")</f>
        <v>BRR FOMENTO FIDC</v>
      </c>
      <c r="L73" s="175" t="s">
        <v>243</v>
      </c>
      <c r="M73" s="175" t="s">
        <v>205</v>
      </c>
      <c r="N73" s="175" t="s">
        <v>196</v>
      </c>
      <c r="O73" s="190">
        <v>0.03</v>
      </c>
    </row>
    <row r="74" spans="1:21">
      <c r="A74" s="163"/>
      <c r="B74" s="187"/>
      <c r="C74" s="164" t="str">
        <f t="shared" si="1"/>
        <v/>
      </c>
      <c r="D74" s="165" t="str">
        <f t="shared" si="0"/>
        <v/>
      </c>
      <c r="E74" s="188" t="str">
        <f t="shared" si="2"/>
        <v/>
      </c>
      <c r="K74" s="175" t="str">
        <f>IFERROR(CONCATENATE(Tabela3[[#This Row],[INSTITUICAO]]," ",Tabela3[[#This Row],[TIPO OPERACAO]]," ",Tabela3[[#This Row],[TIPO INSTITUICAO]])," ")</f>
        <v>BRR CHEQUE FIDC</v>
      </c>
      <c r="L74" s="175" t="s">
        <v>243</v>
      </c>
      <c r="M74" s="175" t="s">
        <v>207</v>
      </c>
      <c r="N74" s="175" t="s">
        <v>196</v>
      </c>
      <c r="O74" s="190">
        <v>2.1999999999999999E-2</v>
      </c>
      <c r="Q74" s="175">
        <v>20</v>
      </c>
      <c r="U74" s="175">
        <v>50</v>
      </c>
    </row>
    <row r="75" spans="1:21">
      <c r="A75" s="160"/>
      <c r="B75" s="183"/>
      <c r="C75" s="161" t="str">
        <f t="shared" si="1"/>
        <v/>
      </c>
      <c r="D75" s="162" t="str">
        <f t="shared" si="0"/>
        <v/>
      </c>
      <c r="E75" s="184" t="str">
        <f t="shared" si="2"/>
        <v/>
      </c>
      <c r="K75" s="175" t="str">
        <f>IFERROR(CONCATENATE(Tabela3[[#This Row],[INSTITUICAO]]," ",Tabela3[[#This Row],[TIPO OPERACAO]]," ",Tabela3[[#This Row],[TIPO INSTITUICAO]])," ")</f>
        <v>BRR BOLETO FIDC</v>
      </c>
      <c r="L75" s="175" t="s">
        <v>243</v>
      </c>
      <c r="M75" s="175" t="s">
        <v>194</v>
      </c>
      <c r="N75" s="175" t="s">
        <v>196</v>
      </c>
      <c r="O75" s="190">
        <v>2.1000000000000001E-2</v>
      </c>
    </row>
    <row r="76" spans="1:21">
      <c r="A76" s="163"/>
      <c r="B76" s="187"/>
      <c r="C76" s="164" t="str">
        <f t="shared" si="1"/>
        <v/>
      </c>
      <c r="D76" s="165" t="str">
        <f t="shared" si="0"/>
        <v/>
      </c>
      <c r="E76" s="188" t="str">
        <f t="shared" si="2"/>
        <v/>
      </c>
      <c r="K76" s="175" t="str">
        <f>IFERROR(CONCATENATE(Tabela3[[#This Row],[INSTITUICAO]]," ",Tabela3[[#This Row],[TIPO OPERACAO]]," ",Tabela3[[#This Row],[TIPO INSTITUICAO]])," ")</f>
        <v>BLACKBIRD BOLETO FIDC</v>
      </c>
      <c r="L76" s="175" t="s">
        <v>239</v>
      </c>
      <c r="M76" s="175" t="s">
        <v>194</v>
      </c>
      <c r="N76" s="175" t="s">
        <v>196</v>
      </c>
      <c r="O76" s="190">
        <v>2.5000000000000001E-2</v>
      </c>
    </row>
    <row r="77" spans="1:21">
      <c r="A77" s="160"/>
      <c r="B77" s="183"/>
      <c r="C77" s="161" t="str">
        <f t="shared" si="1"/>
        <v/>
      </c>
      <c r="D77" s="162" t="str">
        <f t="shared" ref="D77:D90" si="3">IF(A77="","",IF($B$7="","",IF(OR(WEEKDAY(A77)=5,WEEKDAY(A77)=6,WEEKDAY(A77)=7),A77-$B$7+$E$7+2,IF(WEEKDAY(A77)=1,A77-$B$7+$E$7+1,A77-$B$7+$E$7))))</f>
        <v/>
      </c>
      <c r="E77" s="184" t="str">
        <f t="shared" si="2"/>
        <v/>
      </c>
      <c r="K77" s="175" t="str">
        <f>IFERROR(CONCATENATE(Tabela3[[#This Row],[INSTITUICAO]]," ",Tabela3[[#This Row],[TIPO OPERACAO]]," ",Tabela3[[#This Row],[TIPO INSTITUICAO]])," ")</f>
        <v>IRMAOS BOA RISCO SACADO RSC</v>
      </c>
      <c r="L77" s="175" t="s">
        <v>244</v>
      </c>
      <c r="M77" s="175" t="s">
        <v>245</v>
      </c>
      <c r="N77" s="175" t="s">
        <v>246</v>
      </c>
      <c r="O77" s="190">
        <v>2.5000000000000001E-2</v>
      </c>
    </row>
    <row r="78" spans="1:21">
      <c r="A78" s="163"/>
      <c r="B78" s="187"/>
      <c r="C78" s="164" t="str">
        <f t="shared" ref="C78:C90" si="4">IF(A78="","",A78-$B$7)</f>
        <v/>
      </c>
      <c r="D78" s="165" t="str">
        <f t="shared" si="3"/>
        <v/>
      </c>
      <c r="E78" s="188" t="str">
        <f t="shared" ref="E78:E90" si="5">IF(D78="","",IF(B78="","",IF(A78="","",IF($B$7="","",(D78*B78)))))</f>
        <v/>
      </c>
      <c r="K78" s="175" t="str">
        <f>IFERROR(CONCATENATE(Tabela3[[#This Row],[INSTITUICAO]]," ",Tabela3[[#This Row],[TIPO OPERACAO]]," ",Tabela3[[#This Row],[TIPO INSTITUICAO]])," ")</f>
        <v>HERCULES CHEQUE FIDC</v>
      </c>
      <c r="L78" s="175" t="s">
        <v>247</v>
      </c>
      <c r="M78" s="175" t="s">
        <v>207</v>
      </c>
      <c r="N78" s="175" t="s">
        <v>196</v>
      </c>
      <c r="O78" s="190">
        <v>1.8499999999999999E-2</v>
      </c>
    </row>
    <row r="79" spans="1:21">
      <c r="A79" s="160"/>
      <c r="B79" s="183"/>
      <c r="C79" s="161" t="str">
        <f t="shared" si="4"/>
        <v/>
      </c>
      <c r="D79" s="162" t="str">
        <f t="shared" si="3"/>
        <v/>
      </c>
      <c r="E79" s="184" t="str">
        <f t="shared" si="5"/>
        <v/>
      </c>
      <c r="K79" s="175" t="str">
        <f>IFERROR(CONCATENATE(Tabela3[[#This Row],[INSTITUICAO]]," ",Tabela3[[#This Row],[TIPO OPERACAO]]," ",Tabela3[[#This Row],[TIPO INSTITUICAO]])," ")</f>
        <v>BRR BOLETO ESPECIAL FIDC</v>
      </c>
      <c r="L79" s="175" t="s">
        <v>243</v>
      </c>
      <c r="M79" s="175" t="s">
        <v>248</v>
      </c>
      <c r="N79" s="175" t="s">
        <v>196</v>
      </c>
      <c r="O79" s="190">
        <v>2.5000000000000001E-2</v>
      </c>
    </row>
    <row r="80" spans="1:21">
      <c r="A80" s="163"/>
      <c r="B80" s="187"/>
      <c r="C80" s="164" t="str">
        <f t="shared" si="4"/>
        <v/>
      </c>
      <c r="D80" s="165" t="str">
        <f t="shared" si="3"/>
        <v/>
      </c>
      <c r="E80" s="188" t="str">
        <f t="shared" si="5"/>
        <v/>
      </c>
      <c r="K80" s="175" t="str">
        <f>IFERROR(CONCATENATE(Tabela3[[#This Row],[INSTITUICAO]]," ",Tabela3[[#This Row],[TIPO OPERACAO]]," ",Tabela3[[#This Row],[TIPO INSTITUICAO]])," ")</f>
        <v>NOBEL BOLETO ESPECIAL FIDC</v>
      </c>
      <c r="L80" s="175" t="s">
        <v>249</v>
      </c>
      <c r="M80" s="175" t="s">
        <v>248</v>
      </c>
      <c r="N80" s="175" t="s">
        <v>196</v>
      </c>
      <c r="O80" s="190">
        <v>2.1999999999999999E-2</v>
      </c>
    </row>
    <row r="81" spans="1:15">
      <c r="A81" s="160"/>
      <c r="B81" s="183"/>
      <c r="C81" s="161" t="str">
        <f t="shared" si="4"/>
        <v/>
      </c>
      <c r="D81" s="162" t="str">
        <f t="shared" si="3"/>
        <v/>
      </c>
      <c r="E81" s="184" t="str">
        <f t="shared" si="5"/>
        <v/>
      </c>
      <c r="K81" s="175" t="str">
        <f>IFERROR(CONCATENATE(Tabela3[[#This Row],[INSTITUICAO]]," ",Tabela3[[#This Row],[TIPO OPERACAO]]," ",Tabela3[[#This Row],[TIPO INSTITUICAO]])," ")</f>
        <v>GOAL BOLETO ESPECIAL FIDC</v>
      </c>
      <c r="L81" s="175" t="s">
        <v>250</v>
      </c>
      <c r="M81" s="175" t="s">
        <v>248</v>
      </c>
      <c r="N81" s="175" t="s">
        <v>196</v>
      </c>
      <c r="O81" s="190">
        <v>2.1999999999999999E-2</v>
      </c>
    </row>
    <row r="82" spans="1:15">
      <c r="A82" s="163"/>
      <c r="B82" s="187"/>
      <c r="C82" s="164" t="str">
        <f t="shared" si="4"/>
        <v/>
      </c>
      <c r="D82" s="165" t="str">
        <f t="shared" si="3"/>
        <v/>
      </c>
      <c r="E82" s="188" t="str">
        <f t="shared" si="5"/>
        <v/>
      </c>
      <c r="K82" s="175" t="str">
        <f>IFERROR(CONCATENATE(Tabela3[[#This Row],[INSTITUICAO]]," ",Tabela3[[#This Row],[TIPO OPERACAO]]," ",Tabela3[[#This Row],[TIPO INSTITUICAO]])," ")</f>
        <v>ATIVA BOLETO ESPECIAL FIDC</v>
      </c>
      <c r="L82" s="175" t="s">
        <v>182</v>
      </c>
      <c r="M82" s="175" t="s">
        <v>248</v>
      </c>
      <c r="N82" s="175" t="s">
        <v>196</v>
      </c>
      <c r="O82" s="190">
        <v>2.4500000000000001E-2</v>
      </c>
    </row>
    <row r="83" spans="1:15">
      <c r="A83" s="160"/>
      <c r="B83" s="183"/>
      <c r="C83" s="161" t="str">
        <f t="shared" si="4"/>
        <v/>
      </c>
      <c r="D83" s="162" t="str">
        <f t="shared" si="3"/>
        <v/>
      </c>
      <c r="E83" s="184" t="str">
        <f t="shared" si="5"/>
        <v/>
      </c>
      <c r="K83" s="175" t="str">
        <f>IFERROR(CONCATENATE(Tabela3[[#This Row],[INSTITUICAO]]," ",Tabela3[[#This Row],[TIPO OPERACAO]]," ",Tabela3[[#This Row],[TIPO INSTITUICAO]])," ")</f>
        <v>LEPTA BOLETO ESPECIAL FIDC</v>
      </c>
      <c r="L83" s="175" t="s">
        <v>79</v>
      </c>
      <c r="M83" s="175" t="s">
        <v>248</v>
      </c>
      <c r="N83" s="175" t="s">
        <v>196</v>
      </c>
      <c r="O83" s="190">
        <v>2.9000000000000001E-2</v>
      </c>
    </row>
    <row r="84" spans="1:15">
      <c r="A84" s="163"/>
      <c r="B84" s="187"/>
      <c r="C84" s="164" t="str">
        <f t="shared" si="4"/>
        <v/>
      </c>
      <c r="D84" s="165" t="str">
        <f t="shared" si="3"/>
        <v/>
      </c>
      <c r="E84" s="188" t="str">
        <f t="shared" si="5"/>
        <v/>
      </c>
      <c r="K84" s="175" t="str">
        <f>IFERROR(CONCATENATE(Tabela3[[#This Row],[INSTITUICAO]]," ",Tabela3[[#This Row],[TIPO OPERACAO]]," ",Tabela3[[#This Row],[TIPO INSTITUICAO]])," ")</f>
        <v>ATIVA BOLETO FIDC</v>
      </c>
      <c r="L84" s="175" t="s">
        <v>182</v>
      </c>
      <c r="M84" s="175" t="s">
        <v>194</v>
      </c>
      <c r="N84" s="175" t="s">
        <v>196</v>
      </c>
      <c r="O84" s="190">
        <v>2.1999999999999999E-2</v>
      </c>
    </row>
    <row r="85" spans="1:15">
      <c r="A85" s="160"/>
      <c r="B85" s="183"/>
      <c r="C85" s="161" t="str">
        <f t="shared" si="4"/>
        <v/>
      </c>
      <c r="D85" s="162" t="str">
        <f t="shared" si="3"/>
        <v/>
      </c>
      <c r="E85" s="184" t="str">
        <f t="shared" si="5"/>
        <v/>
      </c>
      <c r="K85" s="175" t="str">
        <f>IFERROR(CONCATENATE(Tabela3[[#This Row],[INSTITUICAO]]," ",Tabela3[[#This Row],[TIPO OPERACAO]]," ",Tabela3[[#This Row],[TIPO INSTITUICAO]])," ")</f>
        <v>DÍNAMO BOLETO FIDC</v>
      </c>
      <c r="L85" s="175" t="s">
        <v>251</v>
      </c>
      <c r="M85" s="175" t="s">
        <v>194</v>
      </c>
      <c r="N85" s="175" t="s">
        <v>196</v>
      </c>
      <c r="O85" s="190">
        <v>2.1999999999999999E-2</v>
      </c>
    </row>
    <row r="86" spans="1:15">
      <c r="A86" s="163"/>
      <c r="B86" s="187"/>
      <c r="C86" s="164" t="str">
        <f t="shared" si="4"/>
        <v/>
      </c>
      <c r="D86" s="165" t="str">
        <f t="shared" si="3"/>
        <v/>
      </c>
      <c r="E86" s="188" t="str">
        <f t="shared" si="5"/>
        <v/>
      </c>
      <c r="K86" s="175" t="str">
        <f>IFERROR(CONCATENATE(Tabela3[[#This Row],[INSTITUICAO]]," ",Tabela3[[#This Row],[TIPO OPERACAO]]," ",Tabela3[[#This Row],[TIPO INSTITUICAO]])," ")</f>
        <v>VALECRED FOMENTO FIDC</v>
      </c>
      <c r="L86" s="175" t="s">
        <v>252</v>
      </c>
      <c r="M86" s="175" t="s">
        <v>205</v>
      </c>
      <c r="N86" s="175" t="s">
        <v>196</v>
      </c>
      <c r="O86" s="190">
        <v>2.7E-2</v>
      </c>
    </row>
    <row r="87" spans="1:15">
      <c r="A87" s="160"/>
      <c r="B87" s="183"/>
      <c r="C87" s="161" t="str">
        <f t="shared" si="4"/>
        <v/>
      </c>
      <c r="D87" s="162" t="str">
        <f t="shared" si="3"/>
        <v/>
      </c>
      <c r="E87" s="184" t="str">
        <f t="shared" si="5"/>
        <v/>
      </c>
      <c r="K87" s="175" t="str">
        <f>IFERROR(CONCATENATE(Tabela3[[#This Row],[INSTITUICAO]]," ",Tabela3[[#This Row],[TIPO OPERACAO]]," ",Tabela3[[#This Row],[TIPO INSTITUICAO]])," ")</f>
        <v>HOPE BOLETO FIDC</v>
      </c>
      <c r="L87" s="175" t="s">
        <v>253</v>
      </c>
      <c r="M87" s="175" t="s">
        <v>194</v>
      </c>
      <c r="N87" s="175" t="s">
        <v>196</v>
      </c>
      <c r="O87" s="190">
        <v>2.1999999999999999E-2</v>
      </c>
    </row>
    <row r="88" spans="1:15">
      <c r="A88" s="163"/>
      <c r="B88" s="187"/>
      <c r="C88" s="164" t="str">
        <f t="shared" si="4"/>
        <v/>
      </c>
      <c r="D88" s="165" t="str">
        <f t="shared" si="3"/>
        <v/>
      </c>
      <c r="E88" s="188" t="str">
        <f t="shared" si="5"/>
        <v/>
      </c>
      <c r="K88" s="175" t="str">
        <f>IFERROR(CONCATENATE(Tabela3[[#This Row],[INSTITUICAO]]," ",Tabela3[[#This Row],[TIPO OPERACAO]]," ",Tabela3[[#This Row],[TIPO INSTITUICAO]])," ")</f>
        <v>ATIVA COMISSARIA FIDC</v>
      </c>
      <c r="L88" s="175" t="s">
        <v>182</v>
      </c>
      <c r="M88" s="175" t="s">
        <v>219</v>
      </c>
      <c r="N88" s="175" t="s">
        <v>196</v>
      </c>
      <c r="O88" s="190">
        <v>2.4500000000000001E-2</v>
      </c>
    </row>
    <row r="89" spans="1:15">
      <c r="A89" s="160"/>
      <c r="B89" s="183"/>
      <c r="C89" s="161" t="str">
        <f t="shared" si="4"/>
        <v/>
      </c>
      <c r="D89" s="162" t="str">
        <f t="shared" si="3"/>
        <v/>
      </c>
      <c r="E89" s="184" t="str">
        <f t="shared" si="5"/>
        <v/>
      </c>
      <c r="K89" s="175" t="str">
        <f>IFERROR(CONCATENATE(Tabela3[[#This Row],[INSTITUICAO]]," ",Tabela3[[#This Row],[TIPO OPERACAO]]," ",Tabela3[[#This Row],[TIPO INSTITUICAO]])," ")</f>
        <v>VALE RIO CLARO BOLETO FIDC</v>
      </c>
      <c r="L89" s="175" t="s">
        <v>81</v>
      </c>
      <c r="M89" s="175" t="s">
        <v>194</v>
      </c>
      <c r="N89" s="175" t="s">
        <v>196</v>
      </c>
      <c r="O89" s="190">
        <v>2.4E-2</v>
      </c>
    </row>
    <row r="90" spans="1:15">
      <c r="A90" s="163"/>
      <c r="B90" s="187"/>
      <c r="C90" s="164" t="str">
        <f t="shared" si="4"/>
        <v/>
      </c>
      <c r="D90" s="165" t="str">
        <f t="shared" si="3"/>
        <v/>
      </c>
      <c r="E90" s="188" t="str">
        <f t="shared" si="5"/>
        <v/>
      </c>
    </row>
    <row r="91" spans="1:15">
      <c r="A91" s="160"/>
      <c r="B91" s="183"/>
      <c r="C91" s="161"/>
      <c r="D91" s="162"/>
      <c r="E91" s="184"/>
    </row>
  </sheetData>
  <mergeCells count="6">
    <mergeCell ref="A5:E5"/>
    <mergeCell ref="K10:O10"/>
    <mergeCell ref="A7:A8"/>
    <mergeCell ref="B7:B8"/>
    <mergeCell ref="H10:I10"/>
    <mergeCell ref="C7:C8"/>
  </mergeCells>
  <conditionalFormatting sqref="I27">
    <cfRule type="cellIs" dxfId="3" priority="1" operator="greaterThan">
      <formula>0</formula>
    </cfRule>
  </conditionalFormatting>
  <conditionalFormatting sqref="I28">
    <cfRule type="cellIs" dxfId="2" priority="2" operator="lessThan">
      <formula>0.001</formula>
    </cfRule>
    <cfRule type="cellIs" dxfId="1" priority="3" operator="greaterThan">
      <formula>0.001</formula>
    </cfRule>
  </conditionalFormatting>
  <dataValidations disablePrompts="1" count="1">
    <dataValidation type="list" allowBlank="1" showInputMessage="1" showErrorMessage="1" sqref="I12" xr:uid="{00000000-0002-0000-0B00-000000000000}">
      <formula1>$L$13:$L$89</formula1>
    </dataValidation>
  </dataValidations>
  <pageMargins left="0.51181102362204722" right="0.51181102362204722" top="0.78740157480314965" bottom="0.78740157480314965" header="0.31496062992125984" footer="0.31496062992125984"/>
  <pageSetup paperSize="9" scale="69" fitToHeight="0" orientation="landscape" r:id="rId1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6:G14"/>
  <sheetViews>
    <sheetView showGridLines="0" workbookViewId="0"/>
  </sheetViews>
  <sheetFormatPr defaultColWidth="9.140625" defaultRowHeight="15"/>
  <cols>
    <col min="1" max="1" width="20.7109375" style="19" customWidth="1"/>
    <col min="2" max="2" width="9.140625" style="19" customWidth="1"/>
    <col min="3" max="3" width="20.7109375" style="19" bestFit="1" customWidth="1"/>
    <col min="4" max="4" width="22.42578125" style="19" bestFit="1" customWidth="1"/>
    <col min="5" max="6" width="11.5703125" style="19" bestFit="1" customWidth="1"/>
    <col min="7" max="7" width="13.28515625" style="19" bestFit="1" customWidth="1"/>
    <col min="8" max="16384" width="9.140625" style="19"/>
  </cols>
  <sheetData>
    <row r="6" spans="3:7">
      <c r="C6" s="153" t="s">
        <v>167</v>
      </c>
      <c r="D6" s="153" t="s">
        <v>166</v>
      </c>
    </row>
    <row r="7" spans="3:7">
      <c r="C7" s="153" t="s">
        <v>160</v>
      </c>
      <c r="D7" s="19" t="s">
        <v>85</v>
      </c>
      <c r="E7" s="19" t="s">
        <v>84</v>
      </c>
      <c r="F7" s="19" t="s">
        <v>86</v>
      </c>
      <c r="G7" s="19" t="s">
        <v>161</v>
      </c>
    </row>
    <row r="8" spans="3:7">
      <c r="C8" s="19" t="s">
        <v>162</v>
      </c>
      <c r="D8" s="154"/>
      <c r="E8" s="154">
        <v>112497.11000000002</v>
      </c>
      <c r="F8" s="154">
        <v>664663.25000000012</v>
      </c>
      <c r="G8" s="154">
        <v>777160.3600000001</v>
      </c>
    </row>
    <row r="9" spans="3:7">
      <c r="C9" s="19" t="s">
        <v>163</v>
      </c>
      <c r="D9" s="154">
        <v>1524845.1800000002</v>
      </c>
      <c r="E9" s="154"/>
      <c r="F9" s="154"/>
      <c r="G9" s="154">
        <v>1524845.1800000002</v>
      </c>
    </row>
    <row r="10" spans="3:7">
      <c r="C10" s="19" t="s">
        <v>164</v>
      </c>
      <c r="D10" s="154">
        <v>599437.10000000021</v>
      </c>
      <c r="E10" s="154"/>
      <c r="F10" s="154"/>
      <c r="G10" s="154">
        <v>599437.10000000021</v>
      </c>
    </row>
    <row r="11" spans="3:7">
      <c r="C11" s="19" t="s">
        <v>165</v>
      </c>
      <c r="D11" s="154">
        <v>150643.09000000003</v>
      </c>
      <c r="E11" s="154"/>
      <c r="F11" s="154"/>
      <c r="G11" s="154">
        <v>150643.09000000003</v>
      </c>
    </row>
    <row r="12" spans="3:7">
      <c r="C12" s="19" t="s">
        <v>382</v>
      </c>
      <c r="D12" s="154">
        <v>46650.28</v>
      </c>
      <c r="E12" s="154"/>
      <c r="F12" s="154"/>
      <c r="G12" s="154">
        <v>46650.28</v>
      </c>
    </row>
    <row r="13" spans="3:7">
      <c r="C13" s="19" t="s">
        <v>383</v>
      </c>
      <c r="D13" s="154"/>
      <c r="E13" s="154">
        <v>5875</v>
      </c>
      <c r="F13" s="154">
        <v>1568.69</v>
      </c>
      <c r="G13" s="154">
        <v>7443.6900000000005</v>
      </c>
    </row>
    <row r="14" spans="3:7">
      <c r="C14" s="19" t="s">
        <v>161</v>
      </c>
      <c r="D14" s="154">
        <v>2321575.65</v>
      </c>
      <c r="E14" s="154">
        <v>118372.11000000002</v>
      </c>
      <c r="F14" s="154">
        <v>666231.94000000006</v>
      </c>
      <c r="G14" s="154">
        <v>3106179.6999999997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BASE</vt:lpstr>
      <vt:lpstr>RESUMO</vt:lpstr>
      <vt:lpstr>FATURAMENTO</vt:lpstr>
      <vt:lpstr>DISPONÍVEL</vt:lpstr>
      <vt:lpstr>A RECEBER</vt:lpstr>
      <vt:lpstr>DIARIO</vt:lpstr>
      <vt:lpstr>FUNDOS</vt:lpstr>
      <vt:lpstr>PM</vt:lpstr>
      <vt:lpstr>TD</vt:lpstr>
      <vt:lpstr>PM!Area_de_impressao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Torolho</dc:creator>
  <cp:lastModifiedBy>Aluforce</cp:lastModifiedBy>
  <dcterms:created xsi:type="dcterms:W3CDTF">2026-01-21T14:00:40Z</dcterms:created>
  <dcterms:modified xsi:type="dcterms:W3CDTF">2026-03-17T12:58:43Z</dcterms:modified>
</cp:coreProperties>
</file>